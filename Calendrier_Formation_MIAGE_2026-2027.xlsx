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onia/Google Drive/2026-2027/Gestion M2M/EDT/"/>
    </mc:Choice>
  </mc:AlternateContent>
  <xr:revisionPtr revIDLastSave="0" documentId="13_ncr:1_{EAA00E53-1521-494B-9E8B-F36DA8E24367}" xr6:coauthVersionLast="47" xr6:coauthVersionMax="47" xr10:uidLastSave="{00000000-0000-0000-0000-000000000000}"/>
  <bookViews>
    <workbookView xWindow="32520" yWindow="500" windowWidth="23180" windowHeight="13820" tabRatio="500" xr2:uid="{00000000-000D-0000-FFFF-FFFF00000000}"/>
  </bookViews>
  <sheets>
    <sheet name="Feuil1" sheetId="1" r:id="rId1"/>
    <sheet name="LMD5" sheetId="2" r:id="rId2"/>
    <sheet name="Feuil2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30" i="1" l="1"/>
  <c r="W27" i="1"/>
  <c r="R16" i="1"/>
  <c r="W15" i="1"/>
  <c r="B4" i="1"/>
  <c r="B5" i="1" s="1"/>
  <c r="B6" i="1" s="1"/>
  <c r="B8" i="1" s="1"/>
  <c r="B9" i="1" s="1"/>
  <c r="B10" i="1" s="1"/>
  <c r="B11" i="1" s="1"/>
  <c r="B12" i="1" s="1"/>
  <c r="B14" i="1" s="1"/>
  <c r="B15" i="1" s="1"/>
  <c r="B16" i="1" s="1"/>
  <c r="B17" i="1" s="1"/>
  <c r="B18" i="1" s="1"/>
  <c r="B20" i="1" s="1"/>
  <c r="B21" i="1" s="1"/>
  <c r="B22" i="1" s="1"/>
  <c r="B23" i="1" s="1"/>
  <c r="B24" i="1" s="1"/>
  <c r="B26" i="1" s="1"/>
  <c r="B27" i="1" s="1"/>
  <c r="B28" i="1" s="1"/>
  <c r="B29" i="1" s="1"/>
  <c r="B30" i="1" s="1"/>
  <c r="B32" i="1" s="1"/>
  <c r="B33" i="1" s="1"/>
  <c r="B34" i="1" s="1"/>
  <c r="B35" i="1" s="1"/>
  <c r="B36" i="1" s="1"/>
  <c r="B38" i="1" s="1"/>
  <c r="B39" i="1" s="1"/>
  <c r="B40" i="1" s="1"/>
  <c r="B41" i="1" s="1"/>
  <c r="B42" i="1" s="1"/>
  <c r="B44" i="1" s="1"/>
  <c r="B45" i="1" s="1"/>
  <c r="B46" i="1" s="1"/>
  <c r="B47" i="1" s="1"/>
  <c r="B48" i="1" s="1"/>
  <c r="B50" i="1" s="1"/>
  <c r="B51" i="1" s="1"/>
  <c r="B52" i="1" s="1"/>
  <c r="B53" i="1" s="1"/>
  <c r="B54" i="1" s="1"/>
  <c r="B56" i="1" s="1"/>
  <c r="B57" i="1" s="1"/>
  <c r="B58" i="1" s="1"/>
  <c r="B59" i="1" s="1"/>
  <c r="B60" i="1" s="1"/>
  <c r="B62" i="1" s="1"/>
  <c r="B63" i="1" s="1"/>
  <c r="B64" i="1" s="1"/>
  <c r="B65" i="1" s="1"/>
  <c r="B66" i="1" s="1"/>
  <c r="B68" i="1" s="1"/>
  <c r="B69" i="1" s="1"/>
  <c r="B70" i="1" s="1"/>
  <c r="B71" i="1" s="1"/>
  <c r="B72" i="1" s="1"/>
  <c r="B74" i="1" s="1"/>
  <c r="B75" i="1" s="1"/>
  <c r="B76" i="1" s="1"/>
  <c r="B77" i="1" s="1"/>
  <c r="B78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2" i="1" s="1"/>
  <c r="B93" i="1" s="1"/>
  <c r="B94" i="1" s="1"/>
  <c r="B95" i="1" s="1"/>
  <c r="B96" i="1" s="1"/>
  <c r="B98" i="1" s="1"/>
  <c r="B99" i="1" s="1"/>
  <c r="B100" i="1" s="1"/>
  <c r="B101" i="1" s="1"/>
  <c r="B102" i="1" s="1"/>
  <c r="B104" i="1" s="1"/>
  <c r="B105" i="1" s="1"/>
  <c r="B106" i="1" s="1"/>
  <c r="B107" i="1" s="1"/>
  <c r="B108" i="1" s="1"/>
  <c r="B110" i="1" s="1"/>
  <c r="B111" i="1" s="1"/>
  <c r="B112" i="1" s="1"/>
  <c r="B113" i="1" s="1"/>
  <c r="B114" i="1" s="1"/>
  <c r="B116" i="1" s="1"/>
  <c r="B117" i="1" s="1"/>
  <c r="B118" i="1" s="1"/>
  <c r="B119" i="1" s="1"/>
  <c r="B120" i="1" s="1"/>
  <c r="B122" i="1" s="1"/>
  <c r="B123" i="1" s="1"/>
  <c r="B124" i="1" s="1"/>
  <c r="B125" i="1" s="1"/>
  <c r="B126" i="1" s="1"/>
  <c r="B128" i="1" s="1"/>
  <c r="B129" i="1" s="1"/>
  <c r="B130" i="1" s="1"/>
  <c r="B131" i="1" s="1"/>
  <c r="B132" i="1" s="1"/>
  <c r="B134" i="1" s="1"/>
  <c r="B135" i="1" s="1"/>
  <c r="B136" i="1" s="1"/>
  <c r="B137" i="1" s="1"/>
  <c r="B138" i="1" s="1"/>
  <c r="B140" i="1" s="1"/>
  <c r="B141" i="1" s="1"/>
  <c r="B142" i="1" s="1"/>
  <c r="B143" i="1" s="1"/>
  <c r="B144" i="1" s="1"/>
  <c r="B146" i="1" s="1"/>
  <c r="B147" i="1" s="1"/>
  <c r="B148" i="1" s="1"/>
  <c r="B149" i="1" s="1"/>
  <c r="B150" i="1" s="1"/>
  <c r="B152" i="1" s="1"/>
  <c r="B153" i="1" s="1"/>
  <c r="B154" i="1" s="1"/>
  <c r="B155" i="1" s="1"/>
  <c r="B156" i="1" s="1"/>
  <c r="B158" i="1" s="1"/>
  <c r="B3" i="1"/>
</calcChain>
</file>

<file path=xl/sharedStrings.xml><?xml version="1.0" encoding="utf-8"?>
<sst xmlns="http://schemas.openxmlformats.org/spreadsheetml/2006/main" count="585" uniqueCount="176">
  <si>
    <t>S1</t>
  </si>
  <si>
    <t>8h30</t>
  </si>
  <si>
    <t>9h30</t>
  </si>
  <si>
    <t>EDT M2 Miage Mixte</t>
  </si>
  <si>
    <t xml:space="preserve">L </t>
  </si>
  <si>
    <t>Réunion d'accueil</t>
  </si>
  <si>
    <t>TDM Lyes (CM)210B</t>
  </si>
  <si>
    <t>TDM Lyes (TD)210B</t>
  </si>
  <si>
    <t>M</t>
  </si>
  <si>
    <t>R&amp;D Adel (CM)</t>
  </si>
  <si>
    <t>Anglais Sten (TD) (1)</t>
  </si>
  <si>
    <t xml:space="preserve"> DL Sana  (CM) 210B</t>
  </si>
  <si>
    <t xml:space="preserve"> DL Sana (TD) 210B</t>
  </si>
  <si>
    <t>Ethique du numérique Jean Marc (CM)</t>
  </si>
  <si>
    <t>IDC (CM)- Rafel 210B</t>
  </si>
  <si>
    <t>IDC (TD) -Rafel</t>
  </si>
  <si>
    <t>Semestre</t>
  </si>
  <si>
    <t>CM</t>
  </si>
  <si>
    <t>TD</t>
  </si>
  <si>
    <t>Salle</t>
  </si>
  <si>
    <t>S9</t>
  </si>
  <si>
    <t xml:space="preserve">J </t>
  </si>
  <si>
    <t>CTAQ Pascal (CM) 210B</t>
  </si>
  <si>
    <t>CTAQ Pascal (TD) 210B</t>
  </si>
  <si>
    <t>SSI Fabrice (CM) 210B</t>
  </si>
  <si>
    <t>SSI Fabrice(TD) 210B</t>
  </si>
  <si>
    <t>BEN HAMIDA MRABET</t>
  </si>
  <si>
    <t>MI-Deep Learning (DL)</t>
  </si>
  <si>
    <t>machine 210B/201</t>
  </si>
  <si>
    <t>vendredi matin</t>
  </si>
  <si>
    <t xml:space="preserve">V </t>
  </si>
  <si>
    <t>Journée d'intégration</t>
  </si>
  <si>
    <t>Pascal Poizat</t>
  </si>
  <si>
    <t>MI-Contrats, tests et assurance qualité (CTAQ)</t>
  </si>
  <si>
    <t>jeudi matin</t>
  </si>
  <si>
    <t>S2</t>
  </si>
  <si>
    <t>Legond-Aubry,Fabrice</t>
  </si>
  <si>
    <t>MI-Sécurité des systèmes informatiques (SSI)</t>
  </si>
  <si>
    <t>jeudi AM</t>
  </si>
  <si>
    <t xml:space="preserve">ENTREPRISE </t>
  </si>
  <si>
    <t>Rafael Angarita</t>
  </si>
  <si>
    <t>MI-Ingénierie des données et des connaissances pour les grands modèles de langage (IDC)</t>
  </si>
  <si>
    <t>mercredi AM</t>
  </si>
  <si>
    <t>Lyes Attouche</t>
  </si>
  <si>
    <t>MI-Traitement de données massives (TDM)</t>
  </si>
  <si>
    <t>mercredi matin</t>
  </si>
  <si>
    <t>Ethique du numérique Jean Marc (TD)</t>
  </si>
  <si>
    <t>Sonia Guehis</t>
  </si>
  <si>
    <t>MI-Analyse de données et Systèmes de recherche (ADSR)
d'information ( AD et SRI)</t>
  </si>
  <si>
    <t>vendredi matin et jeudi matin</t>
  </si>
  <si>
    <t xml:space="preserve">SSI Fabrice (CM) </t>
  </si>
  <si>
    <t xml:space="preserve">SSI Fabrice(TD) </t>
  </si>
  <si>
    <t>Azhar-Arnal,Juliette</t>
  </si>
  <si>
    <t>MI-Gouvernance des SI(GSI)</t>
  </si>
  <si>
    <t>vendredi AM</t>
  </si>
  <si>
    <t>GSI Juliette (CM)</t>
  </si>
  <si>
    <t>GSI Juliette (TD)</t>
  </si>
  <si>
    <t>Jean Marc Zogheib</t>
  </si>
  <si>
    <t>MI-Ethique du numérique</t>
  </si>
  <si>
    <t>salla banalisée avec video</t>
  </si>
  <si>
    <t>S3</t>
  </si>
  <si>
    <t>Sten Le Berrigaud</t>
  </si>
  <si>
    <t>MI-Préparation au toeic</t>
  </si>
  <si>
    <t>Mercredi matin</t>
  </si>
  <si>
    <t>Lebarbier,Emilie,Fermin, Ana Karina</t>
  </si>
  <si>
    <t>MI-Projet Analyse avancées des données ( PAD)</t>
  </si>
  <si>
    <t>ADSR Sonia (CM) 210B</t>
  </si>
  <si>
    <t>ADSR Sonia (TD) 210B</t>
  </si>
  <si>
    <t>S4</t>
  </si>
  <si>
    <t>MI-Programmation conccurente et distribuée (PCD)</t>
  </si>
  <si>
    <t>S10</t>
  </si>
  <si>
    <t>Adel Noureddine</t>
  </si>
  <si>
    <t>MI-Recherche et développement (RD2)</t>
  </si>
  <si>
    <t>S5</t>
  </si>
  <si>
    <t>GUEHIS-SAADAOUI</t>
  </si>
  <si>
    <t>MI-Stage et travail de recherche personnel</t>
  </si>
  <si>
    <t>EC :Projet SI et Données (PSID)</t>
  </si>
  <si>
    <t>Ines Alaya</t>
  </si>
  <si>
    <t>S6</t>
  </si>
  <si>
    <t>Réunion MA</t>
  </si>
  <si>
    <t>S7</t>
  </si>
  <si>
    <t>S8</t>
  </si>
  <si>
    <t xml:space="preserve">Vacances Universitaire/ ENTREPRISE </t>
  </si>
  <si>
    <t>Examen Ethique Jean Marc</t>
  </si>
  <si>
    <t>Anglais Sten (TD) (2)</t>
  </si>
  <si>
    <t>Férié</t>
  </si>
  <si>
    <t>Remise de diplôme</t>
  </si>
  <si>
    <t>S11</t>
  </si>
  <si>
    <t>R&amp;D Adel (TD)</t>
  </si>
  <si>
    <t>Anglais Sten (TD)(3)</t>
  </si>
  <si>
    <t>PAD Emilie (TD) 2H</t>
  </si>
  <si>
    <t>S12</t>
  </si>
  <si>
    <t>Anglais Sten (TD)(4)</t>
  </si>
  <si>
    <t>S13</t>
  </si>
  <si>
    <t>Anglais Sten (TD)(5)</t>
  </si>
  <si>
    <t>Nuit d'info</t>
  </si>
  <si>
    <t>Revision</t>
  </si>
  <si>
    <t>Anglais Sten (TD)(6)</t>
  </si>
  <si>
    <t>Examen</t>
  </si>
  <si>
    <t>Examen SSI Fabrice</t>
  </si>
  <si>
    <t>Examen IDC Rafael</t>
  </si>
  <si>
    <t>Stage Sonia (TD) (4h)</t>
  </si>
  <si>
    <t>Examen CTAQ</t>
  </si>
  <si>
    <t>Anglais Sten (TD)(7)</t>
  </si>
  <si>
    <t>Examen GSI Juliette</t>
  </si>
  <si>
    <t>ENTREPRISE / fermeture administrative</t>
  </si>
  <si>
    <t>Examen ADSR  (9:30-11:30)</t>
  </si>
  <si>
    <t xml:space="preserve">EXAMEN TDM (9:30-11:30) </t>
  </si>
  <si>
    <t>Examen DL  (9:30-11:30)</t>
  </si>
  <si>
    <t>Anglais Sten (TD)(8)</t>
  </si>
  <si>
    <t>PSID Sana ( 4H)</t>
  </si>
  <si>
    <t>PCD Fabrice (CM) 210B</t>
  </si>
  <si>
    <t>PCD Fabrice (TD) 210B</t>
  </si>
  <si>
    <t>PSID Sonia ( 4H)</t>
  </si>
  <si>
    <t>Semestre 2</t>
  </si>
  <si>
    <t>Anglais Sten (TD)(9)</t>
  </si>
  <si>
    <t>L</t>
  </si>
  <si>
    <t>Stage Sonia ( TD) 3h</t>
  </si>
  <si>
    <t>PSID Ines( 4H)</t>
  </si>
  <si>
    <t>Début Stages</t>
  </si>
  <si>
    <t>Examens PCD Fabrice</t>
  </si>
  <si>
    <t>STAGES/ENTREPRISE</t>
  </si>
  <si>
    <t>Préjury semestres 1 et 2</t>
  </si>
  <si>
    <t>Mémoire</t>
  </si>
  <si>
    <t xml:space="preserve">soutenances </t>
  </si>
  <si>
    <t>31/05/2027 au 10/06/2027</t>
  </si>
  <si>
    <t xml:space="preserve">rattrapages </t>
  </si>
  <si>
    <t>du 21/06/2027 au 25/06/2027</t>
  </si>
  <si>
    <t>Pré-Jury Semestre1: semaine du 01/03/2027</t>
  </si>
  <si>
    <t>Jury Session 1  Jeudi 11/06/2027</t>
  </si>
  <si>
    <t>Jury Session 2    02/07/2027</t>
  </si>
  <si>
    <t>Master2 Miage ISI LMD5</t>
  </si>
  <si>
    <t>Semestre 9</t>
  </si>
  <si>
    <t>Responsable</t>
  </si>
  <si>
    <t>ECTS</t>
  </si>
  <si>
    <t>Présentiel</t>
  </si>
  <si>
    <t>Libellé</t>
  </si>
  <si>
    <t>H CM</t>
  </si>
  <si>
    <t>H TD</t>
  </si>
  <si>
    <t>UE1 : Connaissances et compétences disciplinaires fondamentales S9</t>
  </si>
  <si>
    <t>SBH</t>
  </si>
  <si>
    <t>IA</t>
  </si>
  <si>
    <t>PP</t>
  </si>
  <si>
    <t>JFPP</t>
  </si>
  <si>
    <t>FLA</t>
  </si>
  <si>
    <t>RA</t>
  </si>
  <si>
    <t>LA</t>
  </si>
  <si>
    <t>MI-Analyse de données et Systèmes de recherche d'information ( AD et SRI)</t>
  </si>
  <si>
    <t>SG</t>
  </si>
  <si>
    <t>UE2: Connaissances et compétences disciplinaires d'approfondissement S9</t>
  </si>
  <si>
    <t>MI-Gouvernance des SI</t>
  </si>
  <si>
    <t>JA</t>
  </si>
  <si>
    <t>Jean Marc zogheib</t>
  </si>
  <si>
    <t>UE3 : Compétences linguistiques</t>
  </si>
  <si>
    <t>Sten Le berrigaud </t>
  </si>
  <si>
    <t>UE4 : Projets académiques et professionnels</t>
  </si>
  <si>
    <t>MI-Projet Analyse avancées des données</t>
  </si>
  <si>
    <t>AKF</t>
  </si>
  <si>
    <t>EL</t>
  </si>
  <si>
    <t>Semestre 10</t>
  </si>
  <si>
    <t>UE 1 Enseignements fondamentaux</t>
  </si>
  <si>
    <t>FL</t>
  </si>
  <si>
    <t>MI-PSID</t>
  </si>
  <si>
    <t>IA-SB-SG</t>
  </si>
  <si>
    <t>AN</t>
  </si>
  <si>
    <t>UE5 : Stage et travail de recherche</t>
  </si>
  <si>
    <t>Anglais</t>
  </si>
  <si>
    <t>le 09/09</t>
  </si>
  <si>
    <t>Non 08, 10 ou 11</t>
  </si>
  <si>
    <t>- le 04/11</t>
  </si>
  <si>
    <t>- le 18/11</t>
  </si>
  <si>
    <t>- le 25/11</t>
  </si>
  <si>
    <t>- le 02/12</t>
  </si>
  <si>
    <t>- le 09/12</t>
  </si>
  <si>
    <t>- le 16/12</t>
  </si>
  <si>
    <t>- le 06/01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</si>
</sst>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8"/>
      <color theme="1"/>
      <name val="Times New Roman"/>
      <family val="1"/>
      <charset val="1"/>
    </font>
    <font>
      <sz val="8"/>
      <color rgb="FF000000"/>
      <name val="Calibri"/>
      <family val="2"/>
      <charset val="1"/>
    </font>
    <font>
      <b/>
      <sz val="16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color rgb="FFFFFFFF"/>
      <name val="Calibri"/>
      <family val="2"/>
      <charset val="1"/>
    </font>
    <font>
      <sz val="11"/>
      <color rgb="FF333333"/>
      <name val="Calibri"/>
      <family val="2"/>
      <charset val="1"/>
    </font>
    <font>
      <sz val="10"/>
      <color rgb="FF333333"/>
      <name val="Calibri"/>
      <family val="2"/>
      <charset val="1"/>
    </font>
    <font>
      <b/>
      <sz val="10"/>
      <color theme="1"/>
      <name val="Calibri"/>
      <family val="2"/>
      <charset val="1"/>
    </font>
    <font>
      <sz val="8"/>
      <name val="Calibri"/>
      <family val="2"/>
      <charset val="1"/>
    </font>
    <font>
      <sz val="8"/>
      <name val="Dialog"/>
      <charset val="1"/>
    </font>
    <font>
      <sz val="9"/>
      <color rgb="FFFF0000"/>
      <name val="Calibri"/>
      <family val="2"/>
      <charset val="1"/>
    </font>
    <font>
      <sz val="9"/>
      <color theme="1"/>
      <name val="Calibri"/>
      <family val="2"/>
      <charset val="1"/>
    </font>
    <font>
      <sz val="9"/>
      <name val="Calibri"/>
      <family val="2"/>
      <charset val="1"/>
    </font>
    <font>
      <sz val="10"/>
      <color theme="1"/>
      <name val="Arial"/>
      <family val="2"/>
      <charset val="1"/>
    </font>
    <font>
      <sz val="8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8"/>
      <color theme="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8"/>
      <color rgb="FFFF0000"/>
      <name val="Calibri"/>
      <family val="2"/>
      <charset val="1"/>
    </font>
    <font>
      <b/>
      <sz val="8"/>
      <color rgb="FFFF0000"/>
      <name val="Times New Roman"/>
      <family val="1"/>
      <charset val="1"/>
    </font>
    <font>
      <sz val="8"/>
      <color rgb="FFFF0000"/>
      <name val="Times New Roman"/>
      <family val="1"/>
      <charset val="1"/>
    </font>
    <font>
      <sz val="10"/>
      <name val="Calibri"/>
      <family val="2"/>
      <charset val="1"/>
    </font>
    <font>
      <b/>
      <sz val="12"/>
      <color theme="1"/>
      <name val="Arial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222222"/>
      <name val="Arial"/>
      <family val="2"/>
      <charset val="1"/>
    </font>
    <font>
      <sz val="11"/>
      <color rgb="FFFF0000"/>
      <name val="Calibri"/>
      <family val="2"/>
      <charset val="1"/>
    </font>
  </fonts>
  <fills count="32">
    <fill>
      <patternFill patternType="none"/>
    </fill>
    <fill>
      <patternFill patternType="gray125"/>
    </fill>
    <fill>
      <patternFill patternType="solid">
        <fgColor theme="0" tint="-0.499984740745262"/>
        <bgColor rgb="FFA6A6A6"/>
      </patternFill>
    </fill>
    <fill>
      <patternFill patternType="solid">
        <fgColor theme="0" tint="-0.34998626667073579"/>
        <bgColor rgb="FFC4BD97"/>
      </patternFill>
    </fill>
    <fill>
      <patternFill patternType="solid">
        <fgColor rgb="FFB4C6E7"/>
        <bgColor rgb="FFB9CDE5"/>
      </patternFill>
    </fill>
    <fill>
      <patternFill patternType="solid">
        <fgColor rgb="FF92D050"/>
        <bgColor rgb="FFC4BD97"/>
      </patternFill>
    </fill>
    <fill>
      <patternFill patternType="solid">
        <fgColor theme="9" tint="-0.249977111117893"/>
        <bgColor rgb="FFD99694"/>
      </patternFill>
    </fill>
    <fill>
      <patternFill patternType="solid">
        <fgColor rgb="FFE7DAF0"/>
        <bgColor rgb="FFF2DCDB"/>
      </patternFill>
    </fill>
    <fill>
      <patternFill patternType="solid">
        <fgColor theme="2" tint="-0.249977111117893"/>
        <bgColor rgb="FFBFBFBF"/>
      </patternFill>
    </fill>
    <fill>
      <patternFill patternType="solid">
        <fgColor rgb="FF00FCFC"/>
        <bgColor rgb="FF00FF00"/>
      </patternFill>
    </fill>
    <fill>
      <patternFill patternType="solid">
        <fgColor rgb="FFC7FCFC"/>
        <bgColor rgb="FFDCE6F2"/>
      </patternFill>
    </fill>
    <fill>
      <patternFill patternType="solid">
        <fgColor rgb="FF2F75B5"/>
        <bgColor rgb="FF0066CC"/>
      </patternFill>
    </fill>
    <fill>
      <patternFill patternType="solid">
        <fgColor rgb="FFFFFF00"/>
        <bgColor rgb="FFFCFCBD"/>
      </patternFill>
    </fill>
    <fill>
      <patternFill patternType="solid">
        <fgColor rgb="FFE6B8B7"/>
        <bgColor rgb="FFF7B3B0"/>
      </patternFill>
    </fill>
    <fill>
      <patternFill patternType="solid">
        <fgColor theme="4" tint="0.79989013336588644"/>
        <bgColor rgb="FFE2EFDA"/>
      </patternFill>
    </fill>
    <fill>
      <patternFill patternType="solid">
        <fgColor rgb="FFFF0000"/>
        <bgColor rgb="FFCC0000"/>
      </patternFill>
    </fill>
    <fill>
      <patternFill patternType="solid">
        <fgColor theme="1" tint="0.3498947111423078"/>
        <bgColor rgb="FF333333"/>
      </patternFill>
    </fill>
    <fill>
      <patternFill patternType="solid">
        <fgColor rgb="FFFEFDD9"/>
        <bgColor rgb="FFFCFCBD"/>
      </patternFill>
    </fill>
    <fill>
      <patternFill patternType="solid">
        <fgColor theme="6" tint="0.59987182226020086"/>
        <bgColor rgb="FFD9D9D9"/>
      </patternFill>
    </fill>
    <fill>
      <patternFill patternType="solid">
        <fgColor rgb="FFE4C8FA"/>
        <bgColor rgb="FFE7DAF0"/>
      </patternFill>
    </fill>
    <fill>
      <patternFill patternType="solid">
        <fgColor theme="0" tint="-0.14999847407452621"/>
        <bgColor rgb="FFE7DAF0"/>
      </patternFill>
    </fill>
    <fill>
      <patternFill patternType="solid">
        <fgColor rgb="FFF7B3B0"/>
        <bgColor rgb="FFE6B8B7"/>
      </patternFill>
    </fill>
    <fill>
      <patternFill patternType="solid">
        <fgColor theme="6" tint="0.79989013336588644"/>
        <bgColor rgb="FFE2EFDA"/>
      </patternFill>
    </fill>
    <fill>
      <patternFill patternType="solid">
        <fgColor theme="8" tint="0.39988402966399123"/>
        <bgColor rgb="FF92CDDC"/>
      </patternFill>
    </fill>
    <fill>
      <patternFill patternType="solid">
        <fgColor theme="9" tint="0.79989013336588644"/>
        <bgColor rgb="FFEBF1DE"/>
      </patternFill>
    </fill>
    <fill>
      <patternFill patternType="solid">
        <fgColor theme="4" tint="0.59987182226020086"/>
        <bgColor rgb="FFB4C6E7"/>
      </patternFill>
    </fill>
    <fill>
      <patternFill patternType="solid">
        <fgColor theme="0" tint="-0.249977111117893"/>
        <bgColor rgb="FFC4BD97"/>
      </patternFill>
    </fill>
    <fill>
      <patternFill patternType="solid">
        <fgColor theme="5" tint="0.79989013336588644"/>
        <bgColor rgb="FFE7DAF0"/>
      </patternFill>
    </fill>
    <fill>
      <patternFill patternType="solid">
        <fgColor theme="5" tint="0.39988402966399123"/>
        <bgColor rgb="FFF7B3B0"/>
      </patternFill>
    </fill>
    <fill>
      <patternFill patternType="solid">
        <fgColor rgb="FFE2EFDA"/>
        <bgColor rgb="FFEBF1DE"/>
      </patternFill>
    </fill>
    <fill>
      <patternFill patternType="solid">
        <fgColor rgb="FF92CDDC"/>
        <bgColor rgb="FF93CDDD"/>
      </patternFill>
    </fill>
    <fill>
      <patternFill patternType="solid">
        <fgColor rgb="FFFCFCBD"/>
        <bgColor rgb="FFFEFDD9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1" fillId="17" borderId="1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0" fontId="8" fillId="11" borderId="6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20" fontId="1" fillId="3" borderId="1" xfId="0" applyNumberFormat="1" applyFont="1" applyFill="1" applyBorder="1" applyAlignment="1">
      <alignment wrapText="1"/>
    </xf>
    <xf numFmtId="20" fontId="1" fillId="3" borderId="3" xfId="0" applyNumberFormat="1" applyFont="1" applyFill="1" applyBorder="1" applyAlignment="1">
      <alignment wrapText="1"/>
    </xf>
    <xf numFmtId="20" fontId="1" fillId="3" borderId="2" xfId="0" applyNumberFormat="1" applyFont="1" applyFill="1" applyBorder="1" applyAlignment="1">
      <alignment wrapText="1"/>
    </xf>
    <xf numFmtId="20" fontId="5" fillId="3" borderId="1" xfId="0" applyNumberFormat="1" applyFont="1" applyFill="1" applyBorder="1" applyAlignment="1">
      <alignment horizontal="center"/>
    </xf>
    <xf numFmtId="0" fontId="6" fillId="0" borderId="0" xfId="0" applyFont="1"/>
    <xf numFmtId="0" fontId="1" fillId="0" borderId="1" xfId="0" applyFont="1" applyBorder="1" applyAlignment="1">
      <alignment wrapText="1"/>
    </xf>
    <xf numFmtId="14" fontId="1" fillId="4" borderId="2" xfId="0" applyNumberFormat="1" applyFont="1" applyFill="1" applyBorder="1" applyAlignment="1">
      <alignment wrapText="1"/>
    </xf>
    <xf numFmtId="0" fontId="7" fillId="0" borderId="0" xfId="0" applyFont="1"/>
    <xf numFmtId="0" fontId="1" fillId="9" borderId="1" xfId="0" applyFont="1" applyFill="1" applyBorder="1"/>
    <xf numFmtId="0" fontId="9" fillId="0" borderId="1" xfId="0" applyFont="1" applyBorder="1"/>
    <xf numFmtId="0" fontId="1" fillId="0" borderId="1" xfId="0" applyFont="1" applyBorder="1"/>
    <xf numFmtId="0" fontId="10" fillId="0" borderId="1" xfId="0" applyFont="1" applyBorder="1"/>
    <xf numFmtId="0" fontId="1" fillId="13" borderId="1" xfId="0" applyFont="1" applyFill="1" applyBorder="1"/>
    <xf numFmtId="0" fontId="3" fillId="16" borderId="1" xfId="0" applyFont="1" applyFill="1" applyBorder="1" applyAlignment="1">
      <alignment wrapText="1"/>
    </xf>
    <xf numFmtId="0" fontId="4" fillId="16" borderId="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1" fillId="12" borderId="1" xfId="0" applyFont="1" applyFill="1" applyBorder="1"/>
    <xf numFmtId="0" fontId="9" fillId="18" borderId="1" xfId="0" applyFont="1" applyFill="1" applyBorder="1" applyAlignment="1">
      <alignment wrapText="1"/>
    </xf>
    <xf numFmtId="0" fontId="1" fillId="6" borderId="1" xfId="0" applyFont="1" applyFill="1" applyBorder="1"/>
    <xf numFmtId="0" fontId="9" fillId="18" borderId="1" xfId="0" applyFont="1" applyFill="1" applyBorder="1"/>
    <xf numFmtId="0" fontId="0" fillId="0" borderId="8" xfId="0" applyBorder="1" applyAlignment="1">
      <alignment horizontal="center" vertical="center"/>
    </xf>
    <xf numFmtId="0" fontId="1" fillId="19" borderId="1" xfId="0" applyFont="1" applyFill="1" applyBorder="1"/>
    <xf numFmtId="0" fontId="12" fillId="20" borderId="1" xfId="0" applyFont="1" applyFill="1" applyBorder="1"/>
    <xf numFmtId="0" fontId="8" fillId="11" borderId="1" xfId="0" applyFont="1" applyFill="1" applyBorder="1"/>
    <xf numFmtId="0" fontId="0" fillId="18" borderId="1" xfId="0" applyFill="1" applyBorder="1"/>
    <xf numFmtId="20" fontId="1" fillId="3" borderId="9" xfId="0" applyNumberFormat="1" applyFont="1" applyFill="1" applyBorder="1" applyAlignment="1">
      <alignment wrapText="1"/>
    </xf>
    <xf numFmtId="20" fontId="5" fillId="3" borderId="3" xfId="0" applyNumberFormat="1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" fillId="8" borderId="1" xfId="0" applyFont="1" applyFill="1" applyBorder="1"/>
    <xf numFmtId="0" fontId="0" fillId="0" borderId="1" xfId="0" applyBorder="1"/>
    <xf numFmtId="14" fontId="1" fillId="0" borderId="2" xfId="0" applyNumberFormat="1" applyFont="1" applyBorder="1" applyAlignment="1">
      <alignment wrapText="1"/>
    </xf>
    <xf numFmtId="0" fontId="3" fillId="5" borderId="1" xfId="0" applyFont="1" applyFill="1" applyBorder="1"/>
    <xf numFmtId="0" fontId="13" fillId="0" borderId="1" xfId="0" applyFont="1" applyBorder="1" applyAlignment="1">
      <alignment horizontal="right"/>
    </xf>
    <xf numFmtId="0" fontId="14" fillId="0" borderId="0" xfId="0" applyFont="1"/>
    <xf numFmtId="0" fontId="1" fillId="21" borderId="3" xfId="0" applyFont="1" applyFill="1" applyBorder="1"/>
    <xf numFmtId="0" fontId="0" fillId="0" borderId="8" xfId="0" applyBorder="1"/>
    <xf numFmtId="0" fontId="9" fillId="0" borderId="0" xfId="0" applyFont="1"/>
    <xf numFmtId="0" fontId="10" fillId="0" borderId="0" xfId="0" applyFont="1"/>
    <xf numFmtId="0" fontId="15" fillId="22" borderId="1" xfId="0" applyFont="1" applyFill="1" applyBorder="1"/>
    <xf numFmtId="0" fontId="0" fillId="0" borderId="5" xfId="0" applyBorder="1"/>
    <xf numFmtId="0" fontId="16" fillId="0" borderId="1" xfId="0" applyFont="1" applyBorder="1" applyAlignment="1">
      <alignment horizontal="right"/>
    </xf>
    <xf numFmtId="0" fontId="17" fillId="0" borderId="0" xfId="0" applyFont="1"/>
    <xf numFmtId="0" fontId="15" fillId="0" borderId="1" xfId="0" applyFont="1" applyBorder="1"/>
    <xf numFmtId="0" fontId="1" fillId="23" borderId="1" xfId="0" applyFont="1" applyFill="1" applyBorder="1"/>
    <xf numFmtId="0" fontId="1" fillId="14" borderId="1" xfId="0" applyFont="1" applyFill="1" applyBorder="1"/>
    <xf numFmtId="0" fontId="15" fillId="0" borderId="5" xfId="0" applyFont="1" applyBorder="1"/>
    <xf numFmtId="0" fontId="16" fillId="0" borderId="3" xfId="0" applyFont="1" applyBorder="1" applyAlignment="1">
      <alignment horizontal="right"/>
    </xf>
    <xf numFmtId="0" fontId="1" fillId="7" borderId="1" xfId="0" applyFont="1" applyFill="1" applyBorder="1"/>
    <xf numFmtId="0" fontId="1" fillId="24" borderId="1" xfId="0" applyFont="1" applyFill="1" applyBorder="1"/>
    <xf numFmtId="0" fontId="15" fillId="0" borderId="8" xfId="0" applyFont="1" applyBorder="1"/>
    <xf numFmtId="0" fontId="0" fillId="15" borderId="0" xfId="0" applyFill="1"/>
    <xf numFmtId="14" fontId="1" fillId="4" borderId="9" xfId="0" applyNumberFormat="1" applyFont="1" applyFill="1" applyBorder="1" applyAlignment="1">
      <alignment wrapText="1"/>
    </xf>
    <xf numFmtId="0" fontId="3" fillId="16" borderId="3" xfId="0" applyFont="1" applyFill="1" applyBorder="1" applyAlignment="1">
      <alignment wrapText="1"/>
    </xf>
    <xf numFmtId="0" fontId="4" fillId="2" borderId="9" xfId="0" applyFont="1" applyFill="1" applyBorder="1" applyAlignment="1">
      <alignment wrapText="1"/>
    </xf>
    <xf numFmtId="14" fontId="1" fillId="0" borderId="10" xfId="0" applyNumberFormat="1" applyFont="1" applyBorder="1" applyAlignment="1">
      <alignment wrapText="1"/>
    </xf>
    <xf numFmtId="0" fontId="5" fillId="0" borderId="0" xfId="0" applyFont="1" applyAlignment="1">
      <alignment wrapText="1"/>
    </xf>
    <xf numFmtId="14" fontId="1" fillId="4" borderId="11" xfId="0" applyNumberFormat="1" applyFont="1" applyFill="1" applyBorder="1" applyAlignment="1">
      <alignment wrapText="1"/>
    </xf>
    <xf numFmtId="0" fontId="3" fillId="16" borderId="12" xfId="0" applyFont="1" applyFill="1" applyBorder="1" applyAlignment="1">
      <alignment wrapText="1"/>
    </xf>
    <xf numFmtId="0" fontId="4" fillId="2" borderId="6" xfId="0" applyFont="1" applyFill="1" applyBorder="1" applyAlignment="1">
      <alignment wrapText="1"/>
    </xf>
    <xf numFmtId="14" fontId="1" fillId="25" borderId="2" xfId="0" applyNumberFormat="1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20" fontId="1" fillId="3" borderId="7" xfId="0" applyNumberFormat="1" applyFont="1" applyFill="1" applyBorder="1" applyAlignment="1">
      <alignment wrapText="1"/>
    </xf>
    <xf numFmtId="20" fontId="1" fillId="3" borderId="4" xfId="0" applyNumberFormat="1" applyFont="1" applyFill="1" applyBorder="1" applyAlignment="1">
      <alignment wrapText="1"/>
    </xf>
    <xf numFmtId="20" fontId="5" fillId="3" borderId="7" xfId="0" applyNumberFormat="1" applyFont="1" applyFill="1" applyBorder="1" applyAlignment="1">
      <alignment horizontal="center"/>
    </xf>
    <xf numFmtId="0" fontId="1" fillId="3" borderId="0" xfId="0" applyFont="1" applyFill="1"/>
    <xf numFmtId="0" fontId="19" fillId="3" borderId="0" xfId="0" applyFont="1" applyFill="1"/>
    <xf numFmtId="0" fontId="0" fillId="15" borderId="1" xfId="0" applyFill="1" applyBorder="1"/>
    <xf numFmtId="0" fontId="1" fillId="3" borderId="12" xfId="0" applyFont="1" applyFill="1" applyBorder="1" applyAlignment="1">
      <alignment wrapText="1"/>
    </xf>
    <xf numFmtId="20" fontId="1" fillId="3" borderId="12" xfId="0" applyNumberFormat="1" applyFont="1" applyFill="1" applyBorder="1" applyAlignment="1">
      <alignment wrapText="1"/>
    </xf>
    <xf numFmtId="20" fontId="1" fillId="3" borderId="6" xfId="0" applyNumberFormat="1" applyFont="1" applyFill="1" applyBorder="1" applyAlignment="1">
      <alignment wrapText="1"/>
    </xf>
    <xf numFmtId="20" fontId="5" fillId="3" borderId="12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3" fillId="16" borderId="13" xfId="0" applyFont="1" applyFill="1" applyBorder="1" applyAlignment="1">
      <alignment wrapText="1"/>
    </xf>
    <xf numFmtId="0" fontId="4" fillId="16" borderId="14" xfId="0" applyFont="1" applyFill="1" applyBorder="1" applyAlignment="1">
      <alignment wrapText="1"/>
    </xf>
    <xf numFmtId="0" fontId="1" fillId="0" borderId="12" xfId="0" applyFont="1" applyBorder="1" applyAlignment="1">
      <alignment wrapText="1"/>
    </xf>
    <xf numFmtId="14" fontId="1" fillId="20" borderId="6" xfId="0" applyNumberFormat="1" applyFont="1" applyFill="1" applyBorder="1" applyAlignment="1">
      <alignment wrapText="1"/>
    </xf>
    <xf numFmtId="14" fontId="1" fillId="20" borderId="2" xfId="0" applyNumberFormat="1" applyFont="1" applyFill="1" applyBorder="1" applyAlignment="1">
      <alignment wrapText="1"/>
    </xf>
    <xf numFmtId="14" fontId="1" fillId="21" borderId="2" xfId="0" applyNumberFormat="1" applyFont="1" applyFill="1" applyBorder="1" applyAlignment="1">
      <alignment wrapText="1"/>
    </xf>
    <xf numFmtId="0" fontId="19" fillId="0" borderId="0" xfId="0" applyFont="1"/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14" fontId="1" fillId="0" borderId="1" xfId="0" applyNumberFormat="1" applyFont="1" applyBorder="1" applyAlignment="1">
      <alignment wrapText="1"/>
    </xf>
    <xf numFmtId="14" fontId="1" fillId="29" borderId="2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14" fontId="12" fillId="0" borderId="2" xfId="0" applyNumberFormat="1" applyFont="1" applyBorder="1" applyAlignment="1">
      <alignment horizontal="center"/>
    </xf>
    <xf numFmtId="14" fontId="1" fillId="0" borderId="2" xfId="0" applyNumberFormat="1" applyFont="1" applyBorder="1"/>
    <xf numFmtId="14" fontId="1" fillId="4" borderId="2" xfId="0" applyNumberFormat="1" applyFont="1" applyFill="1" applyBorder="1"/>
    <xf numFmtId="0" fontId="5" fillId="0" borderId="2" xfId="0" applyFont="1" applyBorder="1" applyAlignment="1">
      <alignment horizontal="center" vertical="center"/>
    </xf>
    <xf numFmtId="14" fontId="1" fillId="31" borderId="2" xfId="0" applyNumberFormat="1" applyFont="1" applyFill="1" applyBorder="1"/>
    <xf numFmtId="14" fontId="1" fillId="25" borderId="2" xfId="0" applyNumberFormat="1" applyFont="1" applyFill="1" applyBorder="1"/>
    <xf numFmtId="0" fontId="1" fillId="0" borderId="5" xfId="0" applyFont="1" applyBorder="1" applyAlignment="1">
      <alignment horizontal="center" vertical="center" wrapText="1"/>
    </xf>
    <xf numFmtId="14" fontId="1" fillId="0" borderId="0" xfId="0" applyNumberFormat="1" applyFont="1"/>
    <xf numFmtId="0" fontId="11" fillId="3" borderId="9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14" fontId="1" fillId="21" borderId="0" xfId="0" applyNumberFormat="1" applyFont="1" applyFill="1"/>
    <xf numFmtId="0" fontId="1" fillId="0" borderId="2" xfId="0" applyFont="1" applyBorder="1"/>
    <xf numFmtId="0" fontId="2" fillId="0" borderId="2" xfId="0" applyFont="1" applyBorder="1"/>
    <xf numFmtId="0" fontId="25" fillId="0" borderId="0" xfId="0" applyFont="1"/>
    <xf numFmtId="0" fontId="12" fillId="0" borderId="0" xfId="0" applyFont="1"/>
    <xf numFmtId="0" fontId="26" fillId="0" borderId="0" xfId="0" applyFont="1"/>
    <xf numFmtId="0" fontId="27" fillId="0" borderId="0" xfId="0" applyFont="1"/>
    <xf numFmtId="0" fontId="10" fillId="12" borderId="0" xfId="0" applyFont="1" applyFill="1"/>
    <xf numFmtId="0" fontId="28" fillId="0" borderId="0" xfId="0" applyFont="1"/>
    <xf numFmtId="0" fontId="2" fillId="12" borderId="0" xfId="0" applyFont="1" applyFill="1"/>
    <xf numFmtId="0" fontId="11" fillId="0" borderId="0" xfId="0" applyFont="1"/>
    <xf numFmtId="0" fontId="17" fillId="12" borderId="0" xfId="0" applyFont="1" applyFill="1"/>
    <xf numFmtId="0" fontId="28" fillId="12" borderId="0" xfId="0" applyFont="1" applyFill="1"/>
    <xf numFmtId="0" fontId="9" fillId="12" borderId="0" xfId="0" applyFont="1" applyFill="1"/>
    <xf numFmtId="0" fontId="0" fillId="12" borderId="0" xfId="0" applyFill="1"/>
    <xf numFmtId="0" fontId="29" fillId="0" borderId="0" xfId="0" applyFont="1"/>
    <xf numFmtId="16" fontId="30" fillId="0" borderId="0" xfId="0" applyNumberFormat="1" applyFont="1"/>
    <xf numFmtId="0" fontId="1" fillId="1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12" fillId="20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horizontal="center" vertical="center" wrapText="1"/>
    </xf>
    <xf numFmtId="0" fontId="11" fillId="17" borderId="6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wrapText="1"/>
    </xf>
    <xf numFmtId="0" fontId="3" fillId="16" borderId="2" xfId="0" applyFont="1" applyFill="1" applyBorder="1" applyAlignment="1">
      <alignment horizontal="center" wrapText="1"/>
    </xf>
    <xf numFmtId="0" fontId="3" fillId="0" borderId="1" xfId="0" applyFont="1" applyBorder="1"/>
    <xf numFmtId="0" fontId="1" fillId="0" borderId="6" xfId="0" applyFont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vertical="center" wrapText="1"/>
    </xf>
    <xf numFmtId="0" fontId="21" fillId="0" borderId="1" xfId="0" applyFont="1" applyBorder="1"/>
    <xf numFmtId="0" fontId="20" fillId="15" borderId="3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19" fillId="21" borderId="2" xfId="0" applyFont="1" applyFill="1" applyBorder="1" applyAlignment="1">
      <alignment horizontal="center" vertical="center" wrapText="1"/>
    </xf>
    <xf numFmtId="0" fontId="22" fillId="26" borderId="2" xfId="0" applyFont="1" applyFill="1" applyBorder="1" applyAlignment="1">
      <alignment horizontal="center" wrapText="1"/>
    </xf>
    <xf numFmtId="0" fontId="20" fillId="15" borderId="9" xfId="0" applyFont="1" applyFill="1" applyBorder="1" applyAlignment="1">
      <alignment horizontal="center" vertical="center" wrapText="1"/>
    </xf>
    <xf numFmtId="0" fontId="20" fillId="15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/>
    </xf>
    <xf numFmtId="0" fontId="1" fillId="27" borderId="5" xfId="0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vertical="center" wrapText="1"/>
    </xf>
    <xf numFmtId="0" fontId="1" fillId="14" borderId="12" xfId="0" applyFont="1" applyFill="1" applyBorder="1" applyAlignment="1">
      <alignment horizontal="center"/>
    </xf>
    <xf numFmtId="0" fontId="1" fillId="22" borderId="5" xfId="0" applyFont="1" applyFill="1" applyBorder="1" applyAlignment="1">
      <alignment horizontal="center" vertical="center" wrapText="1"/>
    </xf>
    <xf numFmtId="0" fontId="1" fillId="22" borderId="2" xfId="0" applyFont="1" applyFill="1" applyBorder="1" applyAlignment="1">
      <alignment horizontal="center" vertical="center" wrapText="1"/>
    </xf>
    <xf numFmtId="0" fontId="4" fillId="26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5" fillId="30" borderId="5" xfId="0" applyFont="1" applyFill="1" applyBorder="1" applyAlignment="1">
      <alignment horizontal="center" vertical="center"/>
    </xf>
    <xf numFmtId="0" fontId="1" fillId="24" borderId="12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 vertical="center" wrapText="1"/>
    </xf>
    <xf numFmtId="0" fontId="23" fillId="26" borderId="2" xfId="0" applyFont="1" applyFill="1" applyBorder="1" applyAlignment="1">
      <alignment horizontal="center" wrapText="1"/>
    </xf>
    <xf numFmtId="0" fontId="24" fillId="26" borderId="2" xfId="0" applyFont="1" applyFill="1" applyBorder="1" applyAlignment="1">
      <alignment horizontal="center" wrapText="1"/>
    </xf>
    <xf numFmtId="0" fontId="15" fillId="15" borderId="15" xfId="0" applyFont="1" applyFill="1" applyBorder="1"/>
    <xf numFmtId="0" fontId="19" fillId="0" borderId="1" xfId="0" applyFont="1" applyBorder="1" applyAlignment="1">
      <alignment horizontal="center" vertical="center" wrapText="1"/>
    </xf>
    <xf numFmtId="0" fontId="3" fillId="31" borderId="9" xfId="0" applyFont="1" applyFill="1" applyBorder="1" applyAlignment="1">
      <alignment horizontal="center" vertical="center"/>
    </xf>
    <xf numFmtId="0" fontId="3" fillId="31" borderId="6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13">
    <dxf>
      <font>
        <b val="0"/>
        <i val="0"/>
        <color rgb="FFCC0000"/>
      </font>
      <fill>
        <patternFill>
          <bgColor rgb="FFFFCCCC"/>
        </patternFill>
      </fill>
    </dxf>
    <dxf>
      <font>
        <b val="0"/>
        <i val="0"/>
        <color rgb="FFCC0000"/>
      </font>
      <fill>
        <patternFill>
          <bgColor rgb="FFFFCCCC"/>
        </patternFill>
      </fill>
    </dxf>
    <dxf>
      <font>
        <b val="0"/>
        <i val="0"/>
        <color rgb="FFCC0000"/>
      </font>
      <fill>
        <patternFill>
          <bgColor rgb="FFFFCCCC"/>
        </patternFill>
      </fill>
    </dxf>
    <dxf>
      <font>
        <b val="0"/>
        <i val="0"/>
        <color rgb="FFCC0000"/>
      </font>
      <fill>
        <patternFill>
          <bgColor rgb="FFFFCCCC"/>
        </patternFill>
      </fill>
    </dxf>
    <dxf>
      <font>
        <b val="0"/>
        <i val="0"/>
        <color rgb="FFCC0000"/>
      </font>
      <fill>
        <patternFill>
          <bgColor rgb="FFFFCCCC"/>
        </patternFill>
      </fill>
    </dxf>
    <dxf>
      <font>
        <b val="0"/>
        <i val="0"/>
        <color rgb="FFCC0000"/>
      </font>
      <fill>
        <patternFill>
          <bgColor rgb="FFFFCCCC"/>
        </patternFill>
      </fill>
    </dxf>
    <dxf>
      <font>
        <b val="0"/>
        <i val="0"/>
        <color rgb="FFCC0000"/>
      </font>
      <fill>
        <patternFill>
          <bgColor rgb="FFFFCCCC"/>
        </patternFill>
      </fill>
    </dxf>
    <dxf>
      <font>
        <b val="0"/>
        <i val="0"/>
        <color rgb="FFCC0000"/>
      </font>
      <fill>
        <patternFill>
          <bgColor rgb="FFFFCCCC"/>
        </patternFill>
      </fill>
    </dxf>
    <dxf>
      <font>
        <b val="0"/>
        <i val="0"/>
        <color rgb="FFCC0000"/>
      </font>
      <fill>
        <patternFill>
          <bgColor rgb="FFFFCCCC"/>
        </patternFill>
      </fill>
    </dxf>
    <dxf>
      <font>
        <b val="0"/>
        <i val="0"/>
        <color rgb="FFCC0000"/>
      </font>
      <fill>
        <patternFill>
          <bgColor rgb="FFFFCCCC"/>
        </patternFill>
      </fill>
    </dxf>
    <dxf>
      <font>
        <b val="0"/>
        <i val="0"/>
        <color rgb="FFCC0000"/>
      </font>
      <fill>
        <patternFill>
          <bgColor rgb="FFFFCCCC"/>
        </patternFill>
      </fill>
    </dxf>
    <dxf>
      <font>
        <b val="0"/>
        <i val="0"/>
        <color rgb="FFCC0000"/>
      </font>
      <fill>
        <patternFill>
          <bgColor rgb="FFFFCCCC"/>
        </patternFill>
      </fill>
    </dxf>
    <dxf>
      <font>
        <b val="0"/>
        <i val="0"/>
        <color rgb="FFCC0000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CFC"/>
      <rgbColor rgb="FFCC0000"/>
      <rgbColor rgb="FF008000"/>
      <rgbColor rgb="FF000080"/>
      <rgbColor rgb="FFE4C8FA"/>
      <rgbColor rgb="FF800080"/>
      <rgbColor rgb="FF008080"/>
      <rgbColor rgb="FFBFBFBF"/>
      <rgbColor rgb="FF808080"/>
      <rgbColor rgb="FFB4C6E7"/>
      <rgbColor rgb="FFFDEADA"/>
      <rgbColor rgb="FFFEFDD9"/>
      <rgbColor rgb="FFC7FCFC"/>
      <rgbColor rgb="FF660066"/>
      <rgbColor rgb="FFD99694"/>
      <rgbColor rgb="FF0066CC"/>
      <rgbColor rgb="FFB9CDE5"/>
      <rgbColor rgb="FF000080"/>
      <rgbColor rgb="FFFF00FF"/>
      <rgbColor rgb="FFD7E4BD"/>
      <rgbColor rgb="FFEBF1DE"/>
      <rgbColor rgb="FF800080"/>
      <rgbColor rgb="FF800000"/>
      <rgbColor rgb="FF008080"/>
      <rgbColor rgb="FF0000FF"/>
      <rgbColor rgb="FFE7DAF0"/>
      <rgbColor rgb="FFDCE6F2"/>
      <rgbColor rgb="FFE2EFDA"/>
      <rgbColor rgb="FFFCFCBD"/>
      <rgbColor rgb="FF93CDDD"/>
      <rgbColor rgb="FFF7B3B0"/>
      <rgbColor rgb="FFE6B8B7"/>
      <rgbColor rgb="FFFFCCCC"/>
      <rgbColor rgb="FF2F75B5"/>
      <rgbColor rgb="FF92CDDC"/>
      <rgbColor rgb="FF92D050"/>
      <rgbColor rgb="FFC4BD97"/>
      <rgbColor rgb="FFF2DCDB"/>
      <rgbColor rgb="FFE46C0A"/>
      <rgbColor rgb="FF595959"/>
      <rgbColor rgb="FFA6A6A6"/>
      <rgbColor rgb="FF003366"/>
      <rgbColor rgb="FFD9D9D9"/>
      <rgbColor rgb="FF003300"/>
      <rgbColor rgb="FF222222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9"/>
  <sheetViews>
    <sheetView tabSelected="1" topLeftCell="A100" zoomScale="125" zoomScaleNormal="125" workbookViewId="0">
      <selection activeCell="I132" sqref="I132:N132"/>
    </sheetView>
  </sheetViews>
  <sheetFormatPr baseColWidth="10" defaultColWidth="8.83203125" defaultRowHeight="15"/>
  <cols>
    <col min="1" max="1" width="2.83203125" style="15" customWidth="1"/>
    <col min="2" max="2" width="9.5" style="15" customWidth="1"/>
    <col min="3" max="3" width="6.6640625" style="15" customWidth="1"/>
    <col min="4" max="4" width="4.5" style="15" customWidth="1"/>
    <col min="5" max="7" width="4.83203125" style="15" customWidth="1"/>
    <col min="8" max="8" width="5.33203125" style="15" customWidth="1"/>
    <col min="9" max="9" width="5.5" style="15" customWidth="1"/>
    <col min="10" max="10" width="4.83203125" style="15" customWidth="1"/>
    <col min="11" max="11" width="4.1640625" style="15" customWidth="1"/>
    <col min="12" max="12" width="5.83203125" style="15" customWidth="1"/>
    <col min="13" max="13" width="6.1640625" style="15" customWidth="1"/>
    <col min="14" max="14" width="5.33203125" style="15" customWidth="1"/>
    <col min="15" max="15" width="23" customWidth="1"/>
    <col min="16" max="16" width="21.33203125" style="16" customWidth="1"/>
    <col min="17" max="17" width="47.83203125" style="16" customWidth="1"/>
    <col min="18" max="18" width="5.33203125" style="16" customWidth="1"/>
    <col min="19" max="19" width="6.5" style="16" customWidth="1"/>
    <col min="20" max="20" width="6.5" customWidth="1"/>
    <col min="21" max="21" width="17.1640625" customWidth="1"/>
    <col min="22" max="22" width="40.1640625" customWidth="1"/>
    <col min="23" max="256" width="11.5" customWidth="1"/>
  </cols>
  <sheetData>
    <row r="1" spans="1:24" ht="22.5" customHeight="1">
      <c r="A1" s="17" t="s">
        <v>0</v>
      </c>
      <c r="B1" s="18"/>
      <c r="C1" s="19" t="s">
        <v>1</v>
      </c>
      <c r="D1" s="19" t="s">
        <v>2</v>
      </c>
      <c r="E1" s="20">
        <v>0.4375</v>
      </c>
      <c r="F1" s="20">
        <v>0.44444444444444398</v>
      </c>
      <c r="G1" s="20">
        <v>0.47916666666666702</v>
      </c>
      <c r="H1" s="20">
        <v>0.52777777777777801</v>
      </c>
      <c r="I1" s="21">
        <v>0.5625</v>
      </c>
      <c r="J1" s="21">
        <v>0.64583333333333304</v>
      </c>
      <c r="K1" s="21">
        <v>0.65277777777777801</v>
      </c>
      <c r="L1" s="21">
        <v>0.6875</v>
      </c>
      <c r="M1" s="22">
        <v>0.69444444444444497</v>
      </c>
      <c r="N1" s="23">
        <v>0.73611111111111105</v>
      </c>
      <c r="P1" s="24" t="s">
        <v>3</v>
      </c>
    </row>
    <row r="2" spans="1:24" ht="16.5" customHeight="1">
      <c r="A2" s="25" t="s">
        <v>4</v>
      </c>
      <c r="B2" s="26">
        <v>46272</v>
      </c>
      <c r="D2" s="14" t="s">
        <v>5</v>
      </c>
      <c r="E2" s="14"/>
      <c r="I2" s="13" t="s">
        <v>6</v>
      </c>
      <c r="J2" s="13"/>
      <c r="K2" s="13"/>
      <c r="L2" s="13" t="s">
        <v>7</v>
      </c>
      <c r="M2" s="13"/>
      <c r="N2" s="13"/>
    </row>
    <row r="3" spans="1:24" ht="17.25" customHeight="1">
      <c r="A3" s="25" t="s">
        <v>8</v>
      </c>
      <c r="B3" s="26">
        <f>B2+1</f>
        <v>46273</v>
      </c>
      <c r="C3" s="12" t="s">
        <v>9</v>
      </c>
      <c r="D3" s="12"/>
      <c r="E3" s="12"/>
      <c r="F3" s="11" t="s">
        <v>10</v>
      </c>
      <c r="G3" s="11"/>
      <c r="H3" s="11"/>
      <c r="I3" s="10" t="s">
        <v>11</v>
      </c>
      <c r="J3" s="10"/>
      <c r="K3" s="10"/>
      <c r="L3" s="9" t="s">
        <v>12</v>
      </c>
      <c r="M3" s="9"/>
      <c r="N3" s="9"/>
      <c r="O3" s="27"/>
    </row>
    <row r="4" spans="1:24" ht="15" customHeight="1">
      <c r="A4" s="25" t="s">
        <v>8</v>
      </c>
      <c r="B4" s="26">
        <f>B3+1</f>
        <v>46274</v>
      </c>
      <c r="C4" s="8" t="s">
        <v>13</v>
      </c>
      <c r="D4" s="8"/>
      <c r="E4" s="8"/>
      <c r="F4" s="8"/>
      <c r="G4" s="8"/>
      <c r="I4" s="7" t="s">
        <v>14</v>
      </c>
      <c r="J4" s="7"/>
      <c r="K4" s="7"/>
      <c r="L4" s="6" t="s">
        <v>15</v>
      </c>
      <c r="M4" s="6"/>
      <c r="N4" s="6"/>
      <c r="O4" s="15"/>
      <c r="R4" s="16" t="s">
        <v>16</v>
      </c>
      <c r="S4" s="16" t="s">
        <v>17</v>
      </c>
      <c r="T4" s="16" t="s">
        <v>18</v>
      </c>
      <c r="U4" s="16" t="s">
        <v>19</v>
      </c>
      <c r="V4" s="16" t="s">
        <v>20</v>
      </c>
      <c r="W4" s="16"/>
      <c r="X4" s="16"/>
    </row>
    <row r="5" spans="1:24" ht="15" customHeight="1">
      <c r="A5" s="25" t="s">
        <v>21</v>
      </c>
      <c r="B5" s="26">
        <f>B4+1</f>
        <v>46275</v>
      </c>
      <c r="C5" s="5" t="s">
        <v>22</v>
      </c>
      <c r="D5" s="5"/>
      <c r="E5" s="5"/>
      <c r="F5" s="5" t="s">
        <v>23</v>
      </c>
      <c r="G5" s="5"/>
      <c r="H5" s="5"/>
      <c r="I5" s="4" t="s">
        <v>24</v>
      </c>
      <c r="J5" s="4"/>
      <c r="K5" s="4"/>
      <c r="L5" s="3" t="s">
        <v>25</v>
      </c>
      <c r="M5" s="3"/>
      <c r="N5" s="3"/>
      <c r="O5" s="15"/>
      <c r="P5" s="28" t="s">
        <v>26</v>
      </c>
      <c r="Q5" s="29" t="s">
        <v>27</v>
      </c>
      <c r="R5" s="30" t="s">
        <v>20</v>
      </c>
      <c r="S5" s="31">
        <v>18</v>
      </c>
      <c r="T5" s="31">
        <v>18</v>
      </c>
      <c r="U5" s="31" t="s">
        <v>28</v>
      </c>
      <c r="V5" t="s">
        <v>29</v>
      </c>
    </row>
    <row r="6" spans="1:24" ht="15" customHeight="1">
      <c r="A6" s="25" t="s">
        <v>30</v>
      </c>
      <c r="B6" s="26">
        <f>B5+1</f>
        <v>46276</v>
      </c>
      <c r="C6" s="2" t="s">
        <v>31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5"/>
      <c r="P6" s="32" t="s">
        <v>32</v>
      </c>
      <c r="Q6" s="29" t="s">
        <v>33</v>
      </c>
      <c r="R6" s="30" t="s">
        <v>20</v>
      </c>
      <c r="S6" s="31">
        <v>18</v>
      </c>
      <c r="T6" s="31">
        <v>18</v>
      </c>
      <c r="U6" s="31" t="s">
        <v>28</v>
      </c>
      <c r="V6" t="s">
        <v>34</v>
      </c>
    </row>
    <row r="7" spans="1:24" ht="18.75" customHeight="1">
      <c r="A7" s="33" t="s">
        <v>35</v>
      </c>
      <c r="B7" s="34"/>
      <c r="C7" s="35" t="s">
        <v>1</v>
      </c>
      <c r="D7" s="35" t="s">
        <v>2</v>
      </c>
      <c r="E7" s="20">
        <v>0.4375</v>
      </c>
      <c r="F7" s="20">
        <v>0.44444444444444398</v>
      </c>
      <c r="G7" s="20">
        <v>0.52083333333333304</v>
      </c>
      <c r="H7" s="20">
        <v>0.52777777777777801</v>
      </c>
      <c r="I7" s="20">
        <v>0.5625</v>
      </c>
      <c r="J7" s="20">
        <v>0.64583333333333304</v>
      </c>
      <c r="K7" s="20">
        <v>0.65277777777777801</v>
      </c>
      <c r="L7" s="20">
        <v>0.6875</v>
      </c>
      <c r="M7" s="22">
        <v>0.69444444444444497</v>
      </c>
      <c r="N7" s="23">
        <v>0.73611111111111105</v>
      </c>
      <c r="O7" s="15"/>
      <c r="P7" s="36" t="s">
        <v>36</v>
      </c>
      <c r="Q7" s="30" t="s">
        <v>37</v>
      </c>
      <c r="R7" s="30" t="s">
        <v>20</v>
      </c>
      <c r="S7" s="31">
        <v>18</v>
      </c>
      <c r="T7" s="31">
        <v>18</v>
      </c>
      <c r="U7" s="31" t="s">
        <v>28</v>
      </c>
      <c r="V7" t="s">
        <v>38</v>
      </c>
    </row>
    <row r="8" spans="1:24" ht="15" customHeight="1">
      <c r="A8" s="25" t="s">
        <v>4</v>
      </c>
      <c r="B8" s="26">
        <f>B6+3</f>
        <v>46279</v>
      </c>
      <c r="C8" s="1" t="s">
        <v>39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5"/>
      <c r="P8" s="37" t="s">
        <v>40</v>
      </c>
      <c r="Q8" s="38" t="s">
        <v>41</v>
      </c>
      <c r="R8" s="30" t="s">
        <v>20</v>
      </c>
      <c r="S8" s="31">
        <v>18</v>
      </c>
      <c r="T8" s="31">
        <v>18</v>
      </c>
      <c r="U8" s="31" t="s">
        <v>28</v>
      </c>
      <c r="V8" t="s">
        <v>42</v>
      </c>
    </row>
    <row r="9" spans="1:24" ht="15.75" customHeight="1">
      <c r="A9" s="25" t="s">
        <v>8</v>
      </c>
      <c r="B9" s="26">
        <f>B8+1</f>
        <v>46280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5"/>
      <c r="P9" s="39" t="s">
        <v>43</v>
      </c>
      <c r="Q9" s="40" t="s">
        <v>44</v>
      </c>
      <c r="R9" s="30" t="s">
        <v>20</v>
      </c>
      <c r="S9" s="31">
        <v>18</v>
      </c>
      <c r="T9" s="31">
        <v>18</v>
      </c>
      <c r="U9" s="31" t="s">
        <v>28</v>
      </c>
      <c r="V9" t="s">
        <v>45</v>
      </c>
    </row>
    <row r="10" spans="1:24" ht="15.75" customHeight="1">
      <c r="A10" s="25" t="s">
        <v>8</v>
      </c>
      <c r="B10" s="26">
        <f>B9+1</f>
        <v>46281</v>
      </c>
      <c r="C10" s="8" t="s">
        <v>46</v>
      </c>
      <c r="D10" s="8"/>
      <c r="E10" s="8"/>
      <c r="F10" s="8"/>
      <c r="G10" s="8"/>
      <c r="H10" s="41"/>
      <c r="I10" s="7" t="s">
        <v>14</v>
      </c>
      <c r="J10" s="7"/>
      <c r="K10" s="7"/>
      <c r="L10" s="6" t="s">
        <v>15</v>
      </c>
      <c r="M10" s="6"/>
      <c r="N10" s="6"/>
      <c r="O10" s="15"/>
      <c r="P10" s="42" t="s">
        <v>47</v>
      </c>
      <c r="Q10" s="38" t="s">
        <v>48</v>
      </c>
      <c r="R10" s="30" t="s">
        <v>20</v>
      </c>
      <c r="S10" s="31">
        <v>18</v>
      </c>
      <c r="T10" s="31">
        <v>18</v>
      </c>
      <c r="U10" s="31" t="s">
        <v>28</v>
      </c>
      <c r="V10" t="s">
        <v>49</v>
      </c>
    </row>
    <row r="11" spans="1:24" ht="14.25" customHeight="1">
      <c r="A11" s="25" t="s">
        <v>21</v>
      </c>
      <c r="B11" s="26">
        <f>B10+1</f>
        <v>46282</v>
      </c>
      <c r="C11" s="5" t="s">
        <v>22</v>
      </c>
      <c r="D11" s="5"/>
      <c r="E11" s="5"/>
      <c r="F11" s="5" t="s">
        <v>23</v>
      </c>
      <c r="G11" s="5"/>
      <c r="H11" s="5"/>
      <c r="I11" s="134" t="s">
        <v>50</v>
      </c>
      <c r="J11" s="134"/>
      <c r="K11" s="134"/>
      <c r="L11" s="135" t="s">
        <v>51</v>
      </c>
      <c r="M11" s="135"/>
      <c r="N11" s="135"/>
      <c r="O11" s="15"/>
      <c r="P11" s="43" t="s">
        <v>52</v>
      </c>
      <c r="Q11" s="29" t="s">
        <v>53</v>
      </c>
      <c r="R11" s="30" t="s">
        <v>20</v>
      </c>
      <c r="S11" s="31">
        <v>18</v>
      </c>
      <c r="T11" s="31">
        <v>18</v>
      </c>
      <c r="U11" s="31" t="s">
        <v>28</v>
      </c>
      <c r="V11" t="s">
        <v>54</v>
      </c>
    </row>
    <row r="12" spans="1:24" ht="16.5" customHeight="1">
      <c r="A12" s="25" t="s">
        <v>30</v>
      </c>
      <c r="B12" s="26">
        <f>B11+1</f>
        <v>46283</v>
      </c>
      <c r="C12" s="10" t="s">
        <v>11</v>
      </c>
      <c r="D12" s="10"/>
      <c r="E12" s="10"/>
      <c r="F12" s="9" t="s">
        <v>12</v>
      </c>
      <c r="G12" s="9"/>
      <c r="H12" s="9"/>
      <c r="I12" s="136" t="s">
        <v>55</v>
      </c>
      <c r="J12" s="136"/>
      <c r="K12" s="136"/>
      <c r="L12" s="136" t="s">
        <v>56</v>
      </c>
      <c r="M12" s="136"/>
      <c r="N12" s="136"/>
      <c r="O12" s="15"/>
      <c r="P12" s="44" t="s">
        <v>57</v>
      </c>
      <c r="Q12" s="45" t="s">
        <v>58</v>
      </c>
      <c r="R12" s="30" t="s">
        <v>20</v>
      </c>
      <c r="S12" s="31">
        <v>6</v>
      </c>
      <c r="T12" s="31">
        <v>6</v>
      </c>
      <c r="U12" s="31" t="s">
        <v>59</v>
      </c>
      <c r="V12" t="s">
        <v>45</v>
      </c>
    </row>
    <row r="13" spans="1:24" ht="16.5" customHeight="1">
      <c r="A13" s="33" t="s">
        <v>60</v>
      </c>
      <c r="B13" s="18"/>
      <c r="C13" s="19" t="s">
        <v>1</v>
      </c>
      <c r="D13" s="19" t="s">
        <v>2</v>
      </c>
      <c r="E13" s="21">
        <v>0.4375</v>
      </c>
      <c r="F13" s="21">
        <v>0.44444444444444398</v>
      </c>
      <c r="G13" s="21">
        <v>0.52083333333333304</v>
      </c>
      <c r="H13" s="21">
        <v>0.52777777777777801</v>
      </c>
      <c r="I13" s="20">
        <v>0.5625</v>
      </c>
      <c r="J13" s="21">
        <v>0.64583333333333304</v>
      </c>
      <c r="K13" s="21">
        <v>0.65277777777777801</v>
      </c>
      <c r="L13" s="21">
        <v>0.6875</v>
      </c>
      <c r="M13" s="46">
        <v>0.69444444444444497</v>
      </c>
      <c r="N13" s="47">
        <v>0.73611111111111105</v>
      </c>
      <c r="O13" s="48"/>
      <c r="P13" s="49" t="s">
        <v>61</v>
      </c>
      <c r="Q13" s="45" t="s">
        <v>62</v>
      </c>
      <c r="R13" s="30" t="s">
        <v>20</v>
      </c>
      <c r="S13" s="50"/>
      <c r="T13" s="31">
        <v>18</v>
      </c>
      <c r="U13" s="31" t="s">
        <v>59</v>
      </c>
      <c r="V13" t="s">
        <v>63</v>
      </c>
    </row>
    <row r="14" spans="1:24" ht="15" customHeight="1">
      <c r="A14" s="25" t="s">
        <v>4</v>
      </c>
      <c r="B14" s="51">
        <f>B12+3</f>
        <v>46286</v>
      </c>
      <c r="C14" s="1" t="s">
        <v>39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5"/>
      <c r="P14" s="52" t="s">
        <v>64</v>
      </c>
      <c r="Q14" s="29" t="s">
        <v>65</v>
      </c>
      <c r="R14" s="30" t="s">
        <v>20</v>
      </c>
      <c r="S14" s="50"/>
      <c r="T14" s="29">
        <v>12</v>
      </c>
      <c r="U14" s="31" t="s">
        <v>28</v>
      </c>
    </row>
    <row r="15" spans="1:24" ht="15" customHeight="1">
      <c r="A15" s="25" t="s">
        <v>8</v>
      </c>
      <c r="B15" s="51">
        <f>B14+1</f>
        <v>46287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5"/>
      <c r="P15" s="30"/>
      <c r="Q15" s="30"/>
      <c r="R15" s="30" t="s">
        <v>20</v>
      </c>
      <c r="S15" s="53"/>
      <c r="T15" s="53"/>
      <c r="U15" s="15"/>
      <c r="W15">
        <f>SUM(S5:S14)+SUM(T5:T14)</f>
        <v>294</v>
      </c>
    </row>
    <row r="16" spans="1:24" ht="15" customHeight="1">
      <c r="A16" s="25" t="s">
        <v>8</v>
      </c>
      <c r="B16" s="26">
        <f>B15+1</f>
        <v>46288</v>
      </c>
      <c r="C16" s="8" t="s">
        <v>13</v>
      </c>
      <c r="D16" s="8"/>
      <c r="E16" s="8"/>
      <c r="F16" s="8"/>
      <c r="G16" s="8"/>
      <c r="H16" s="41"/>
      <c r="I16" s="7" t="s">
        <v>14</v>
      </c>
      <c r="J16" s="7"/>
      <c r="K16" s="7"/>
      <c r="L16" s="6" t="s">
        <v>15</v>
      </c>
      <c r="M16" s="6"/>
      <c r="N16" s="6"/>
      <c r="O16" s="15"/>
      <c r="R16" s="16">
        <f>SUM(S5:S15)+SUM(T5:T16)</f>
        <v>294</v>
      </c>
      <c r="U16" s="15"/>
    </row>
    <row r="17" spans="1:24" ht="15" customHeight="1">
      <c r="A17" s="25" t="s">
        <v>21</v>
      </c>
      <c r="B17" s="26">
        <f>B16+1</f>
        <v>46289</v>
      </c>
      <c r="C17" s="5" t="s">
        <v>22</v>
      </c>
      <c r="D17" s="5"/>
      <c r="E17" s="5"/>
      <c r="F17" s="5" t="s">
        <v>23</v>
      </c>
      <c r="G17" s="5"/>
      <c r="H17" s="5"/>
      <c r="I17" s="134" t="s">
        <v>50</v>
      </c>
      <c r="J17" s="134"/>
      <c r="K17" s="134"/>
      <c r="L17" s="135" t="s">
        <v>51</v>
      </c>
      <c r="M17" s="135"/>
      <c r="N17" s="135"/>
    </row>
    <row r="18" spans="1:24" ht="15" customHeight="1">
      <c r="A18" s="25" t="s">
        <v>30</v>
      </c>
      <c r="B18" s="26">
        <f>B17+1</f>
        <v>46290</v>
      </c>
      <c r="C18" s="137" t="s">
        <v>66</v>
      </c>
      <c r="D18" s="137"/>
      <c r="E18" s="137"/>
      <c r="F18" s="137" t="s">
        <v>67</v>
      </c>
      <c r="G18" s="137"/>
      <c r="H18" s="137"/>
      <c r="I18" s="136" t="s">
        <v>55</v>
      </c>
      <c r="J18" s="136"/>
      <c r="K18" s="136"/>
      <c r="L18" s="136" t="s">
        <v>56</v>
      </c>
      <c r="M18" s="136"/>
      <c r="N18" s="136"/>
      <c r="P18" s="54"/>
    </row>
    <row r="19" spans="1:24" ht="12.75" customHeight="1">
      <c r="A19" s="33" t="s">
        <v>68</v>
      </c>
      <c r="B19" s="18"/>
      <c r="C19" s="35" t="s">
        <v>1</v>
      </c>
      <c r="D19" s="35" t="s">
        <v>2</v>
      </c>
      <c r="E19" s="20">
        <v>0.4375</v>
      </c>
      <c r="F19" s="20">
        <v>0.44444444444444398</v>
      </c>
      <c r="G19" s="20">
        <v>0.52083333333333304</v>
      </c>
      <c r="H19" s="20">
        <v>0.52777777777777801</v>
      </c>
      <c r="I19" s="20">
        <v>0.5625</v>
      </c>
      <c r="J19" s="20">
        <v>0.64583333333333304</v>
      </c>
      <c r="K19" s="20">
        <v>0.65277777777777801</v>
      </c>
      <c r="L19" s="20">
        <v>0.6875</v>
      </c>
      <c r="M19" s="22">
        <v>0.69444444444444497</v>
      </c>
      <c r="N19" s="23">
        <v>0.73611111111111105</v>
      </c>
    </row>
    <row r="20" spans="1:24" ht="15" customHeight="1">
      <c r="A20" s="25" t="s">
        <v>4</v>
      </c>
      <c r="B20" s="51">
        <f>B18+3</f>
        <v>46293</v>
      </c>
      <c r="C20" s="138" t="s">
        <v>39</v>
      </c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</row>
    <row r="21" spans="1:24" ht="15" customHeight="1">
      <c r="A21" s="25" t="s">
        <v>8</v>
      </c>
      <c r="B21" s="51">
        <f>B20+1</f>
        <v>46294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</row>
    <row r="22" spans="1:24" ht="20.25" customHeight="1">
      <c r="A22" s="25" t="s">
        <v>8</v>
      </c>
      <c r="B22" s="26">
        <f>B21+1</f>
        <v>46295</v>
      </c>
      <c r="C22" s="8" t="s">
        <v>46</v>
      </c>
      <c r="D22" s="8"/>
      <c r="E22" s="8"/>
      <c r="F22" s="8"/>
      <c r="G22" s="8"/>
      <c r="H22" s="41"/>
      <c r="I22" s="7" t="s">
        <v>14</v>
      </c>
      <c r="J22" s="7"/>
      <c r="K22" s="7"/>
      <c r="L22" s="6" t="s">
        <v>15</v>
      </c>
      <c r="M22" s="6"/>
      <c r="N22" s="6"/>
      <c r="P22" s="55" t="s">
        <v>36</v>
      </c>
      <c r="Q22" s="29" t="s">
        <v>69</v>
      </c>
      <c r="R22" s="56" t="s">
        <v>70</v>
      </c>
      <c r="S22" s="31">
        <v>18</v>
      </c>
      <c r="T22" s="31">
        <v>18</v>
      </c>
      <c r="U22" s="31" t="s">
        <v>28</v>
      </c>
      <c r="V22" s="57"/>
      <c r="W22" s="58">
        <v>18</v>
      </c>
      <c r="X22" s="58">
        <v>18</v>
      </c>
    </row>
    <row r="23" spans="1:24" ht="15" customHeight="1">
      <c r="A23" s="25" t="s">
        <v>21</v>
      </c>
      <c r="B23" s="26">
        <f>B22+1</f>
        <v>46296</v>
      </c>
      <c r="C23" s="5" t="s">
        <v>22</v>
      </c>
      <c r="D23" s="5"/>
      <c r="E23" s="5"/>
      <c r="F23" s="5" t="s">
        <v>23</v>
      </c>
      <c r="G23" s="5"/>
      <c r="H23" s="5"/>
      <c r="I23" s="134" t="s">
        <v>50</v>
      </c>
      <c r="J23" s="134"/>
      <c r="K23" s="134"/>
      <c r="L23" s="135" t="s">
        <v>51</v>
      </c>
      <c r="M23" s="135"/>
      <c r="N23" s="135"/>
      <c r="P23" s="59" t="s">
        <v>71</v>
      </c>
      <c r="Q23" s="29" t="s">
        <v>72</v>
      </c>
      <c r="R23" s="60" t="s">
        <v>70</v>
      </c>
      <c r="S23" s="61">
        <v>6</v>
      </c>
      <c r="T23" s="61">
        <v>6</v>
      </c>
      <c r="U23" s="31" t="s">
        <v>28</v>
      </c>
      <c r="V23" s="57" t="s">
        <v>45</v>
      </c>
      <c r="W23" s="62"/>
      <c r="X23" s="58">
        <v>48</v>
      </c>
    </row>
    <row r="24" spans="1:24" ht="15" customHeight="1">
      <c r="A24" s="25" t="s">
        <v>30</v>
      </c>
      <c r="B24" s="26">
        <f>B23+1</f>
        <v>46297</v>
      </c>
      <c r="C24" s="10" t="s">
        <v>11</v>
      </c>
      <c r="D24" s="10"/>
      <c r="E24" s="10"/>
      <c r="F24" s="9" t="s">
        <v>12</v>
      </c>
      <c r="G24" s="9"/>
      <c r="H24" s="9"/>
      <c r="I24" s="136" t="s">
        <v>55</v>
      </c>
      <c r="J24" s="136"/>
      <c r="K24" s="136"/>
      <c r="L24" s="136" t="s">
        <v>56</v>
      </c>
      <c r="M24" s="136"/>
      <c r="N24" s="136"/>
      <c r="P24" s="63"/>
      <c r="Q24" s="63"/>
      <c r="R24" s="50"/>
      <c r="S24" s="61"/>
      <c r="T24" s="61"/>
      <c r="U24" s="31"/>
      <c r="V24" s="57"/>
      <c r="W24" s="58">
        <v>6</v>
      </c>
      <c r="X24" s="58">
        <v>6</v>
      </c>
    </row>
    <row r="25" spans="1:24" ht="14.25" customHeight="1">
      <c r="A25" s="33" t="s">
        <v>73</v>
      </c>
      <c r="B25" s="18"/>
      <c r="C25" s="35" t="s">
        <v>1</v>
      </c>
      <c r="D25" s="35" t="s">
        <v>2</v>
      </c>
      <c r="E25" s="20">
        <v>0.4375</v>
      </c>
      <c r="F25" s="20">
        <v>0.44444444444444398</v>
      </c>
      <c r="G25" s="20">
        <v>0.52083333333333304</v>
      </c>
      <c r="H25" s="20">
        <v>0.52777777777777801</v>
      </c>
      <c r="I25" s="20">
        <v>0.5625</v>
      </c>
      <c r="J25" s="20">
        <v>0.64583333333333304</v>
      </c>
      <c r="K25" s="20">
        <v>0.65277777777777801</v>
      </c>
      <c r="L25" s="20">
        <v>0.6875</v>
      </c>
      <c r="M25" s="22">
        <v>0.69444444444444497</v>
      </c>
      <c r="N25" s="23">
        <v>0.73611111111111105</v>
      </c>
      <c r="P25" s="64" t="s">
        <v>74</v>
      </c>
      <c r="Q25" s="58" t="s">
        <v>75</v>
      </c>
      <c r="R25" s="50" t="s">
        <v>70</v>
      </c>
      <c r="S25" s="61"/>
      <c r="T25" s="61">
        <v>12</v>
      </c>
      <c r="U25" s="31" t="s">
        <v>28</v>
      </c>
      <c r="V25" s="58"/>
      <c r="X25" s="58">
        <v>12</v>
      </c>
    </row>
    <row r="26" spans="1:24" ht="15" customHeight="1">
      <c r="A26" s="25" t="s">
        <v>4</v>
      </c>
      <c r="B26" s="51">
        <f>B24+3</f>
        <v>46300</v>
      </c>
      <c r="C26" s="138" t="s">
        <v>39</v>
      </c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P26" s="65" t="s">
        <v>74</v>
      </c>
      <c r="Q26" s="66" t="s">
        <v>76</v>
      </c>
      <c r="R26" s="50" t="s">
        <v>70</v>
      </c>
      <c r="S26" s="67"/>
      <c r="T26" s="67">
        <v>16</v>
      </c>
      <c r="U26" s="31" t="s">
        <v>28</v>
      </c>
      <c r="V26" t="s">
        <v>29</v>
      </c>
    </row>
    <row r="27" spans="1:24" ht="15" customHeight="1">
      <c r="A27" s="25" t="s">
        <v>8</v>
      </c>
      <c r="B27" s="51">
        <f>B26+1</f>
        <v>46301</v>
      </c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P27" s="68" t="s">
        <v>26</v>
      </c>
      <c r="Q27" s="66" t="s">
        <v>76</v>
      </c>
      <c r="R27" s="50" t="s">
        <v>70</v>
      </c>
      <c r="S27" s="67"/>
      <c r="T27" s="67">
        <v>16</v>
      </c>
      <c r="U27" s="31" t="s">
        <v>28</v>
      </c>
      <c r="W27">
        <f>SUM(W22:X25)</f>
        <v>108</v>
      </c>
    </row>
    <row r="28" spans="1:24" ht="15" customHeight="1">
      <c r="A28" s="25" t="s">
        <v>8</v>
      </c>
      <c r="B28" s="26">
        <f>B27+1</f>
        <v>46302</v>
      </c>
      <c r="C28" s="13" t="s">
        <v>6</v>
      </c>
      <c r="D28" s="13"/>
      <c r="E28" s="13"/>
      <c r="F28" s="13" t="s">
        <v>7</v>
      </c>
      <c r="G28" s="13"/>
      <c r="H28" s="13"/>
      <c r="I28" s="7" t="s">
        <v>14</v>
      </c>
      <c r="J28" s="7"/>
      <c r="K28" s="7"/>
      <c r="L28" s="6" t="s">
        <v>15</v>
      </c>
      <c r="M28" s="6"/>
      <c r="N28" s="6"/>
      <c r="P28" s="69" t="s">
        <v>77</v>
      </c>
      <c r="Q28" s="70" t="s">
        <v>76</v>
      </c>
      <c r="R28" s="50" t="s">
        <v>70</v>
      </c>
      <c r="S28" s="61"/>
      <c r="T28" s="61">
        <v>16</v>
      </c>
      <c r="U28" s="31" t="s">
        <v>28</v>
      </c>
    </row>
    <row r="29" spans="1:24" ht="15" customHeight="1">
      <c r="A29" s="25" t="s">
        <v>21</v>
      </c>
      <c r="B29" s="26">
        <f>B28+1</f>
        <v>46303</v>
      </c>
      <c r="C29" s="5" t="s">
        <v>22</v>
      </c>
      <c r="D29" s="5"/>
      <c r="E29" s="5"/>
      <c r="F29" s="5" t="s">
        <v>23</v>
      </c>
      <c r="G29" s="5"/>
      <c r="H29" s="5"/>
      <c r="I29" s="134" t="s">
        <v>50</v>
      </c>
      <c r="J29" s="134"/>
      <c r="K29" s="134"/>
      <c r="L29" s="135" t="s">
        <v>51</v>
      </c>
      <c r="M29" s="135"/>
      <c r="N29" s="135"/>
    </row>
    <row r="30" spans="1:24" ht="15" customHeight="1">
      <c r="A30" s="25" t="s">
        <v>30</v>
      </c>
      <c r="B30" s="26">
        <f>B29+1</f>
        <v>46304</v>
      </c>
      <c r="C30" s="137" t="s">
        <v>66</v>
      </c>
      <c r="D30" s="137"/>
      <c r="E30" s="137"/>
      <c r="F30" s="137" t="s">
        <v>67</v>
      </c>
      <c r="G30" s="137"/>
      <c r="H30" s="137"/>
      <c r="I30" s="136" t="s">
        <v>55</v>
      </c>
      <c r="J30" s="136"/>
      <c r="K30" s="136"/>
      <c r="L30" s="136" t="s">
        <v>56</v>
      </c>
      <c r="M30" s="136"/>
      <c r="N30" s="136"/>
      <c r="S30" s="16">
        <f>SUM(S22:T28)</f>
        <v>108</v>
      </c>
    </row>
    <row r="31" spans="1:24" ht="14.25" customHeight="1">
      <c r="A31" s="33" t="s">
        <v>78</v>
      </c>
      <c r="B31" s="18"/>
      <c r="C31" s="35" t="s">
        <v>1</v>
      </c>
      <c r="D31" s="35" t="s">
        <v>2</v>
      </c>
      <c r="E31" s="20">
        <v>0.4375</v>
      </c>
      <c r="F31" s="20">
        <v>0.44444444444444398</v>
      </c>
      <c r="G31" s="20">
        <v>0.52083333333333304</v>
      </c>
      <c r="H31" s="20">
        <v>0.52777777777777801</v>
      </c>
      <c r="I31" s="20">
        <v>0.5625</v>
      </c>
      <c r="J31" s="20">
        <v>0.64583333333333304</v>
      </c>
      <c r="K31" s="20">
        <v>0.65277777777777801</v>
      </c>
      <c r="L31" s="20">
        <v>0.6875</v>
      </c>
      <c r="M31" s="22">
        <v>0.69444444444444497</v>
      </c>
      <c r="N31" s="23">
        <v>0.73611111111111105</v>
      </c>
    </row>
    <row r="32" spans="1:24" ht="15" customHeight="1">
      <c r="A32" s="25" t="s">
        <v>4</v>
      </c>
      <c r="B32" s="51">
        <f>B30+3</f>
        <v>46307</v>
      </c>
      <c r="C32" s="138" t="s">
        <v>39</v>
      </c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71" t="s">
        <v>79</v>
      </c>
    </row>
    <row r="33" spans="1:18" ht="16.5" customHeight="1">
      <c r="A33" s="25" t="s">
        <v>8</v>
      </c>
      <c r="B33" s="51">
        <f>B32+1</f>
        <v>46308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</row>
    <row r="34" spans="1:18" ht="11.25" customHeight="1">
      <c r="A34" s="25" t="s">
        <v>8</v>
      </c>
      <c r="B34" s="26">
        <f>B33+1</f>
        <v>46309</v>
      </c>
      <c r="C34" s="13" t="s">
        <v>6</v>
      </c>
      <c r="D34" s="13"/>
      <c r="E34" s="13"/>
      <c r="F34" s="13" t="s">
        <v>7</v>
      </c>
      <c r="G34" s="13"/>
      <c r="H34" s="13"/>
      <c r="I34" s="7" t="s">
        <v>14</v>
      </c>
      <c r="J34" s="7"/>
      <c r="K34" s="7"/>
      <c r="L34" s="6" t="s">
        <v>15</v>
      </c>
      <c r="M34" s="6"/>
      <c r="N34" s="6"/>
    </row>
    <row r="35" spans="1:18" ht="15" customHeight="1">
      <c r="A35" s="25" t="s">
        <v>21</v>
      </c>
      <c r="B35" s="26">
        <f>B34+1</f>
        <v>46310</v>
      </c>
      <c r="C35" s="137" t="s">
        <v>66</v>
      </c>
      <c r="D35" s="137"/>
      <c r="E35" s="137"/>
      <c r="F35" s="137" t="s">
        <v>67</v>
      </c>
      <c r="G35" s="137"/>
      <c r="H35" s="137"/>
      <c r="I35" s="134" t="s">
        <v>50</v>
      </c>
      <c r="J35" s="134"/>
      <c r="K35" s="134"/>
      <c r="L35" s="135" t="s">
        <v>51</v>
      </c>
      <c r="M35" s="135"/>
      <c r="N35" s="135"/>
    </row>
    <row r="36" spans="1:18" ht="15" customHeight="1">
      <c r="A36" s="25" t="s">
        <v>30</v>
      </c>
      <c r="B36" s="72">
        <f>B35+1</f>
        <v>46311</v>
      </c>
      <c r="C36" s="10" t="s">
        <v>11</v>
      </c>
      <c r="D36" s="10"/>
      <c r="E36" s="10"/>
      <c r="F36" s="9" t="s">
        <v>12</v>
      </c>
      <c r="G36" s="9"/>
      <c r="H36" s="9"/>
      <c r="I36" s="136" t="s">
        <v>55</v>
      </c>
      <c r="J36" s="136"/>
      <c r="K36" s="136"/>
      <c r="L36" s="136" t="s">
        <v>56</v>
      </c>
      <c r="M36" s="136"/>
      <c r="N36" s="136"/>
    </row>
    <row r="37" spans="1:18" ht="13.5" customHeight="1">
      <c r="A37" s="73" t="s">
        <v>80</v>
      </c>
      <c r="B37" s="74"/>
      <c r="C37" s="35" t="s">
        <v>1</v>
      </c>
      <c r="D37" s="35" t="s">
        <v>2</v>
      </c>
      <c r="E37" s="20">
        <v>0.4375</v>
      </c>
      <c r="F37" s="20">
        <v>0.44444444444444398</v>
      </c>
      <c r="G37" s="20">
        <v>0.52083333333333304</v>
      </c>
      <c r="H37" s="20">
        <v>0.52777777777777801</v>
      </c>
      <c r="I37" s="20">
        <v>0.5625</v>
      </c>
      <c r="J37" s="20">
        <v>0.64583333333333304</v>
      </c>
      <c r="K37" s="20">
        <v>0.65277777777777801</v>
      </c>
      <c r="L37" s="20">
        <v>0.6875</v>
      </c>
      <c r="M37" s="22">
        <v>0.69444444444444497</v>
      </c>
      <c r="N37" s="23">
        <v>0.73611111111111105</v>
      </c>
    </row>
    <row r="38" spans="1:18" ht="15" customHeight="1">
      <c r="A38" s="25" t="s">
        <v>4</v>
      </c>
      <c r="B38" s="75">
        <f>B36+3</f>
        <v>46314</v>
      </c>
      <c r="C38" s="138" t="s">
        <v>39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</row>
    <row r="39" spans="1:18" ht="15" customHeight="1">
      <c r="A39" s="25" t="s">
        <v>8</v>
      </c>
      <c r="B39" s="51">
        <f>B38+1</f>
        <v>46315</v>
      </c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P39" s="76"/>
      <c r="Q39" s="76"/>
      <c r="R39" s="76"/>
    </row>
    <row r="40" spans="1:18" ht="15" customHeight="1">
      <c r="A40" s="25" t="s">
        <v>8</v>
      </c>
      <c r="B40" s="26">
        <f>B39+1</f>
        <v>46316</v>
      </c>
      <c r="C40" s="13" t="s">
        <v>6</v>
      </c>
      <c r="D40" s="13"/>
      <c r="E40" s="13"/>
      <c r="F40" s="13" t="s">
        <v>7</v>
      </c>
      <c r="G40" s="13"/>
      <c r="H40" s="13"/>
      <c r="I40" s="7" t="s">
        <v>14</v>
      </c>
      <c r="J40" s="7"/>
      <c r="K40" s="7"/>
      <c r="L40" s="6" t="s">
        <v>15</v>
      </c>
      <c r="M40" s="6"/>
      <c r="N40" s="6"/>
    </row>
    <row r="41" spans="1:18" ht="15" customHeight="1">
      <c r="A41" s="25" t="s">
        <v>21</v>
      </c>
      <c r="B41" s="26">
        <f>B40+1</f>
        <v>46317</v>
      </c>
      <c r="C41" s="5" t="s">
        <v>22</v>
      </c>
      <c r="D41" s="5"/>
      <c r="E41" s="5"/>
      <c r="F41" s="5" t="s">
        <v>23</v>
      </c>
      <c r="G41" s="5"/>
      <c r="H41" s="5"/>
      <c r="I41" s="134" t="s">
        <v>50</v>
      </c>
      <c r="J41" s="134"/>
      <c r="K41" s="134"/>
      <c r="L41" s="135" t="s">
        <v>51</v>
      </c>
      <c r="M41" s="135"/>
      <c r="N41" s="135"/>
    </row>
    <row r="42" spans="1:18" ht="15" customHeight="1">
      <c r="A42" s="25" t="s">
        <v>30</v>
      </c>
      <c r="B42" s="77">
        <f>B41+1</f>
        <v>46318</v>
      </c>
      <c r="C42" s="5" t="s">
        <v>22</v>
      </c>
      <c r="D42" s="5"/>
      <c r="E42" s="5"/>
      <c r="F42" s="5" t="s">
        <v>23</v>
      </c>
      <c r="G42" s="5"/>
      <c r="H42" s="5"/>
      <c r="I42" s="136" t="s">
        <v>55</v>
      </c>
      <c r="J42" s="136"/>
      <c r="K42" s="136"/>
      <c r="L42" s="136" t="s">
        <v>56</v>
      </c>
      <c r="M42" s="136"/>
      <c r="N42" s="136"/>
    </row>
    <row r="43" spans="1:18" ht="15.75" customHeight="1">
      <c r="A43" s="78" t="s">
        <v>81</v>
      </c>
      <c r="B43" s="79"/>
      <c r="C43" s="35" t="s">
        <v>1</v>
      </c>
      <c r="D43" s="35" t="s">
        <v>2</v>
      </c>
      <c r="E43" s="20">
        <v>0.4375</v>
      </c>
      <c r="F43" s="20">
        <v>0.44444444444444398</v>
      </c>
      <c r="G43" s="20">
        <v>0.52083333333333304</v>
      </c>
      <c r="H43" s="20">
        <v>0.52777777777777801</v>
      </c>
      <c r="I43" s="20">
        <v>0.5625</v>
      </c>
      <c r="J43" s="20">
        <v>0.64583333333333304</v>
      </c>
      <c r="K43" s="20">
        <v>0.65277777777777801</v>
      </c>
      <c r="L43" s="20">
        <v>0.6875</v>
      </c>
      <c r="M43" s="22">
        <v>0.69444444444444497</v>
      </c>
      <c r="N43" s="23">
        <v>0.73611111111111105</v>
      </c>
    </row>
    <row r="44" spans="1:18" ht="22.5" customHeight="1">
      <c r="A44" s="25" t="s">
        <v>4</v>
      </c>
      <c r="B44" s="51">
        <f>B42+3</f>
        <v>46321</v>
      </c>
      <c r="C44" s="139" t="s">
        <v>82</v>
      </c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</row>
    <row r="45" spans="1:18" ht="12" customHeight="1">
      <c r="A45" s="25" t="s">
        <v>8</v>
      </c>
      <c r="B45" s="51">
        <f>B44+1</f>
        <v>46322</v>
      </c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</row>
    <row r="46" spans="1:18" ht="15" customHeight="1">
      <c r="A46" s="25" t="s">
        <v>8</v>
      </c>
      <c r="B46" s="26">
        <f>B45+1</f>
        <v>46323</v>
      </c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</row>
    <row r="47" spans="1:18" ht="15" customHeight="1">
      <c r="A47" s="25" t="s">
        <v>21</v>
      </c>
      <c r="B47" s="26">
        <f>B46+1</f>
        <v>46324</v>
      </c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</row>
    <row r="48" spans="1:18" ht="14.25" customHeight="1">
      <c r="A48" s="25" t="s">
        <v>30</v>
      </c>
      <c r="B48" s="26">
        <f>B47+1</f>
        <v>46325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</row>
    <row r="49" spans="1:15" ht="18.75" customHeight="1">
      <c r="A49" s="33" t="s">
        <v>20</v>
      </c>
      <c r="B49" s="34"/>
      <c r="C49" s="19" t="s">
        <v>1</v>
      </c>
      <c r="D49" s="19" t="s">
        <v>2</v>
      </c>
      <c r="E49" s="21">
        <v>0.4375</v>
      </c>
      <c r="F49" s="21">
        <v>0.44444444444444398</v>
      </c>
      <c r="G49" s="21">
        <v>0.52083333333333304</v>
      </c>
      <c r="H49" s="21">
        <v>0.52777777777777801</v>
      </c>
      <c r="I49" s="21">
        <v>0.5625</v>
      </c>
      <c r="J49" s="21">
        <v>0.64583333333333304</v>
      </c>
      <c r="K49" s="21">
        <v>0.65277777777777801</v>
      </c>
      <c r="L49" s="21">
        <v>0.6875</v>
      </c>
      <c r="M49" s="46">
        <v>0.69444444444444497</v>
      </c>
      <c r="N49" s="47">
        <v>0.73611111111111105</v>
      </c>
    </row>
    <row r="50" spans="1:15" ht="15" customHeight="1">
      <c r="A50" s="25" t="s">
        <v>4</v>
      </c>
      <c r="B50" s="51">
        <f>B48+3</f>
        <v>46328</v>
      </c>
      <c r="C50" s="138" t="s">
        <v>39</v>
      </c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</row>
    <row r="51" spans="1:15" ht="15" customHeight="1">
      <c r="A51" s="25" t="s">
        <v>8</v>
      </c>
      <c r="B51" s="51">
        <f>B50+1</f>
        <v>46329</v>
      </c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</row>
    <row r="52" spans="1:15" ht="19.5" customHeight="1">
      <c r="A52" s="25" t="s">
        <v>8</v>
      </c>
      <c r="B52" s="80">
        <f>B51+1</f>
        <v>46330</v>
      </c>
      <c r="C52" s="140" t="s">
        <v>83</v>
      </c>
      <c r="D52" s="140"/>
      <c r="E52" s="140"/>
      <c r="F52" s="11" t="s">
        <v>84</v>
      </c>
      <c r="G52" s="11"/>
      <c r="H52" s="11"/>
      <c r="I52" s="7" t="s">
        <v>14</v>
      </c>
      <c r="J52" s="7"/>
      <c r="K52" s="7"/>
      <c r="L52" s="6" t="s">
        <v>15</v>
      </c>
      <c r="M52" s="6"/>
      <c r="N52" s="6"/>
    </row>
    <row r="53" spans="1:15" ht="15" customHeight="1">
      <c r="A53" s="25" t="s">
        <v>21</v>
      </c>
      <c r="B53" s="80">
        <f>B52+1</f>
        <v>46331</v>
      </c>
      <c r="C53" s="5" t="s">
        <v>22</v>
      </c>
      <c r="D53" s="5"/>
      <c r="E53" s="5"/>
      <c r="F53" s="5" t="s">
        <v>23</v>
      </c>
      <c r="G53" s="5"/>
      <c r="H53" s="5"/>
      <c r="I53" s="134" t="s">
        <v>50</v>
      </c>
      <c r="J53" s="134"/>
      <c r="K53" s="134"/>
      <c r="L53" s="135" t="s">
        <v>51</v>
      </c>
      <c r="M53" s="135"/>
      <c r="N53" s="135"/>
    </row>
    <row r="54" spans="1:15" ht="16.5" customHeight="1">
      <c r="A54" s="25" t="s">
        <v>30</v>
      </c>
      <c r="B54" s="80">
        <f>B53+1</f>
        <v>46332</v>
      </c>
      <c r="C54" s="10" t="s">
        <v>11</v>
      </c>
      <c r="D54" s="10"/>
      <c r="E54" s="10"/>
      <c r="F54" s="9" t="s">
        <v>12</v>
      </c>
      <c r="G54" s="9"/>
      <c r="H54" s="9"/>
      <c r="I54" s="136" t="s">
        <v>55</v>
      </c>
      <c r="J54" s="136"/>
      <c r="K54" s="136"/>
      <c r="L54" s="136" t="s">
        <v>56</v>
      </c>
      <c r="M54" s="136"/>
      <c r="N54" s="136"/>
    </row>
    <row r="55" spans="1:15" ht="18.75" customHeight="1">
      <c r="A55" s="33" t="s">
        <v>70</v>
      </c>
      <c r="B55" s="18"/>
      <c r="C55" s="81" t="s">
        <v>1</v>
      </c>
      <c r="D55" s="81" t="s">
        <v>2</v>
      </c>
      <c r="E55" s="82">
        <v>0.4375</v>
      </c>
      <c r="F55" s="82">
        <v>0.44444444444444398</v>
      </c>
      <c r="G55" s="82">
        <v>0.52083333333333304</v>
      </c>
      <c r="H55" s="82">
        <v>0.52777777777777801</v>
      </c>
      <c r="I55" s="82">
        <v>0.5625</v>
      </c>
      <c r="J55" s="82">
        <v>0.64583333333333304</v>
      </c>
      <c r="K55" s="82">
        <v>0.65277777777777801</v>
      </c>
      <c r="L55" s="82">
        <v>0.6875</v>
      </c>
      <c r="M55" s="83">
        <v>0.69444444444444497</v>
      </c>
      <c r="N55" s="84">
        <v>0.73611111111111105</v>
      </c>
    </row>
    <row r="56" spans="1:15" ht="15" customHeight="1">
      <c r="A56" s="25" t="s">
        <v>4</v>
      </c>
      <c r="B56" s="51">
        <f>B54+3</f>
        <v>46335</v>
      </c>
      <c r="C56" s="141" t="s">
        <v>39</v>
      </c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</row>
    <row r="57" spans="1:15" ht="18" customHeight="1">
      <c r="A57" s="25" t="s">
        <v>8</v>
      </c>
      <c r="B57" s="51">
        <f>B56+1</f>
        <v>46336</v>
      </c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</row>
    <row r="58" spans="1:15" ht="19.5" customHeight="1">
      <c r="A58" s="25" t="s">
        <v>8</v>
      </c>
      <c r="B58" s="26">
        <f>B57+1</f>
        <v>46337</v>
      </c>
      <c r="C58" s="85"/>
      <c r="D58" s="85"/>
      <c r="E58" s="85"/>
      <c r="F58" s="85"/>
      <c r="G58" s="85"/>
      <c r="H58" s="86" t="s">
        <v>85</v>
      </c>
      <c r="I58" s="85"/>
      <c r="J58" s="85"/>
      <c r="K58" s="85"/>
      <c r="L58" s="85"/>
      <c r="M58" s="85"/>
      <c r="N58" s="85"/>
    </row>
    <row r="59" spans="1:15" ht="14.25" customHeight="1">
      <c r="A59" s="25" t="s">
        <v>21</v>
      </c>
      <c r="B59" s="26">
        <f>B58+1</f>
        <v>46338</v>
      </c>
      <c r="C59" s="5" t="s">
        <v>22</v>
      </c>
      <c r="D59" s="5"/>
      <c r="E59" s="5"/>
      <c r="F59" s="5" t="s">
        <v>23</v>
      </c>
      <c r="G59" s="5"/>
      <c r="H59" s="5"/>
      <c r="I59" s="134" t="s">
        <v>50</v>
      </c>
      <c r="J59" s="134"/>
      <c r="K59" s="134"/>
      <c r="L59" s="135" t="s">
        <v>51</v>
      </c>
      <c r="M59" s="135"/>
      <c r="N59" s="135"/>
    </row>
    <row r="60" spans="1:15" ht="15.75" customHeight="1">
      <c r="A60" s="25" t="s">
        <v>30</v>
      </c>
      <c r="B60" s="26">
        <f>B59+1</f>
        <v>46339</v>
      </c>
      <c r="C60" s="137" t="s">
        <v>66</v>
      </c>
      <c r="D60" s="137"/>
      <c r="E60" s="137"/>
      <c r="F60" s="137" t="s">
        <v>67</v>
      </c>
      <c r="G60" s="137"/>
      <c r="H60" s="137"/>
      <c r="I60" s="136" t="s">
        <v>55</v>
      </c>
      <c r="J60" s="136"/>
      <c r="K60" s="136"/>
      <c r="L60" s="136" t="s">
        <v>56</v>
      </c>
      <c r="M60" s="136"/>
      <c r="N60" s="136"/>
      <c r="O60" s="87" t="s">
        <v>86</v>
      </c>
    </row>
    <row r="61" spans="1:15" ht="17.25" customHeight="1">
      <c r="A61" s="33" t="s">
        <v>87</v>
      </c>
      <c r="B61" s="18"/>
      <c r="C61" s="88" t="s">
        <v>1</v>
      </c>
      <c r="D61" s="88" t="s">
        <v>2</v>
      </c>
      <c r="E61" s="89">
        <v>0.4375</v>
      </c>
      <c r="F61" s="89">
        <v>0.44444444444444398</v>
      </c>
      <c r="G61" s="89">
        <v>0.52083333333333304</v>
      </c>
      <c r="H61" s="89">
        <v>0.52777777777777801</v>
      </c>
      <c r="I61" s="89">
        <v>0.5625</v>
      </c>
      <c r="J61" s="89">
        <v>0.64583333333333304</v>
      </c>
      <c r="K61" s="89">
        <v>0.65277777777777801</v>
      </c>
      <c r="L61" s="89">
        <v>0.6875</v>
      </c>
      <c r="M61" s="90">
        <v>0.69444444444444497</v>
      </c>
      <c r="N61" s="91">
        <v>0.73611111111111105</v>
      </c>
    </row>
    <row r="62" spans="1:15" ht="14.25" customHeight="1">
      <c r="A62" s="25" t="s">
        <v>4</v>
      </c>
      <c r="B62" s="51">
        <f>B60+3</f>
        <v>46342</v>
      </c>
      <c r="C62" s="1" t="s">
        <v>39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ht="15.75" customHeight="1">
      <c r="A63" s="25" t="s">
        <v>8</v>
      </c>
      <c r="B63" s="51">
        <f>B62+1</f>
        <v>46343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ht="15" customHeight="1">
      <c r="A64" s="25" t="s">
        <v>8</v>
      </c>
      <c r="B64" s="26">
        <f>B63+1</f>
        <v>46344</v>
      </c>
      <c r="C64" s="12" t="s">
        <v>88</v>
      </c>
      <c r="D64" s="12"/>
      <c r="E64" s="12"/>
      <c r="F64" s="142" t="s">
        <v>89</v>
      </c>
      <c r="G64" s="142"/>
      <c r="H64" s="142"/>
      <c r="I64" s="7" t="s">
        <v>14</v>
      </c>
      <c r="J64" s="7"/>
      <c r="K64" s="7"/>
      <c r="L64" s="6" t="s">
        <v>15</v>
      </c>
      <c r="M64" s="6"/>
      <c r="N64" s="6"/>
    </row>
    <row r="65" spans="1:14" ht="15" customHeight="1">
      <c r="A65" s="25" t="s">
        <v>21</v>
      </c>
      <c r="B65" s="26">
        <f>B64+1</f>
        <v>46345</v>
      </c>
      <c r="C65" s="137" t="s">
        <v>66</v>
      </c>
      <c r="D65" s="137"/>
      <c r="E65" s="137"/>
      <c r="F65" s="137" t="s">
        <v>67</v>
      </c>
      <c r="G65" s="137"/>
      <c r="H65" s="137"/>
      <c r="I65" s="143" t="s">
        <v>90</v>
      </c>
      <c r="J65" s="143"/>
      <c r="K65" s="143"/>
      <c r="L65" s="143" t="s">
        <v>90</v>
      </c>
      <c r="M65" s="143"/>
      <c r="N65" s="143"/>
    </row>
    <row r="66" spans="1:14" ht="16.5" customHeight="1">
      <c r="A66" s="25" t="s">
        <v>30</v>
      </c>
      <c r="B66" s="26">
        <f>B65+1</f>
        <v>46346</v>
      </c>
      <c r="C66" s="10" t="s">
        <v>11</v>
      </c>
      <c r="D66" s="10"/>
      <c r="E66" s="10"/>
      <c r="F66" s="9" t="s">
        <v>12</v>
      </c>
      <c r="G66" s="9"/>
      <c r="H66" s="9"/>
      <c r="I66" s="136" t="s">
        <v>55</v>
      </c>
      <c r="J66" s="136"/>
      <c r="K66" s="136"/>
      <c r="L66" s="136" t="s">
        <v>56</v>
      </c>
      <c r="M66" s="136"/>
      <c r="N66" s="136"/>
    </row>
    <row r="67" spans="1:14" ht="19.5" customHeight="1">
      <c r="A67" s="33" t="s">
        <v>91</v>
      </c>
      <c r="B67" s="34"/>
      <c r="C67" s="35" t="s">
        <v>1</v>
      </c>
      <c r="D67" s="35" t="s">
        <v>2</v>
      </c>
      <c r="E67" s="20">
        <v>0.4375</v>
      </c>
      <c r="F67" s="20">
        <v>0.44444444444444398</v>
      </c>
      <c r="G67" s="20">
        <v>0.52083333333333304</v>
      </c>
      <c r="H67" s="20">
        <v>0.52777777777777801</v>
      </c>
      <c r="I67" s="20">
        <v>0.5625</v>
      </c>
      <c r="J67" s="20">
        <v>0.64583333333333304</v>
      </c>
      <c r="K67" s="20">
        <v>0.65277777777777801</v>
      </c>
      <c r="L67" s="20">
        <v>0.6875</v>
      </c>
      <c r="M67" s="22">
        <v>0.69444444444444497</v>
      </c>
      <c r="N67" s="23">
        <v>0.73611111111111105</v>
      </c>
    </row>
    <row r="68" spans="1:14" ht="24.75" customHeight="1">
      <c r="A68" s="25" t="s">
        <v>4</v>
      </c>
      <c r="B68" s="51">
        <f>B66+3</f>
        <v>46349</v>
      </c>
      <c r="C68" s="138" t="s">
        <v>39</v>
      </c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</row>
    <row r="69" spans="1:14" ht="12.75" customHeight="1">
      <c r="A69" s="25" t="s">
        <v>8</v>
      </c>
      <c r="B69" s="51">
        <f>B68+1</f>
        <v>46350</v>
      </c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</row>
    <row r="70" spans="1:14" ht="15.75" customHeight="1">
      <c r="A70" s="25" t="s">
        <v>8</v>
      </c>
      <c r="B70" s="26">
        <f>B69+1</f>
        <v>46351</v>
      </c>
      <c r="C70" s="12" t="s">
        <v>9</v>
      </c>
      <c r="D70" s="12"/>
      <c r="E70" s="12"/>
      <c r="F70" s="11" t="s">
        <v>92</v>
      </c>
      <c r="G70" s="11"/>
      <c r="H70" s="11"/>
      <c r="I70" s="13" t="s">
        <v>6</v>
      </c>
      <c r="J70" s="13"/>
      <c r="K70" s="13"/>
      <c r="L70" s="13" t="s">
        <v>7</v>
      </c>
      <c r="M70" s="13"/>
      <c r="N70" s="13"/>
    </row>
    <row r="71" spans="1:14" ht="15.75" customHeight="1">
      <c r="A71" s="25" t="s">
        <v>21</v>
      </c>
      <c r="B71" s="26">
        <f>B70+1</f>
        <v>46352</v>
      </c>
      <c r="C71" s="137" t="s">
        <v>66</v>
      </c>
      <c r="D71" s="137"/>
      <c r="E71" s="137"/>
      <c r="F71" s="137" t="s">
        <v>67</v>
      </c>
      <c r="G71" s="137"/>
      <c r="H71" s="137"/>
      <c r="I71" s="143" t="s">
        <v>90</v>
      </c>
      <c r="J71" s="143"/>
      <c r="K71" s="143"/>
      <c r="L71" s="143" t="s">
        <v>90</v>
      </c>
      <c r="M71" s="143"/>
      <c r="N71" s="143"/>
    </row>
    <row r="72" spans="1:14" ht="15.75" customHeight="1">
      <c r="A72" s="25" t="s">
        <v>30</v>
      </c>
      <c r="B72" s="26">
        <f>B71+1</f>
        <v>46353</v>
      </c>
      <c r="C72" s="10" t="s">
        <v>11</v>
      </c>
      <c r="D72" s="10"/>
      <c r="E72" s="10"/>
      <c r="F72" s="9" t="s">
        <v>12</v>
      </c>
      <c r="G72" s="9"/>
      <c r="H72" s="9"/>
      <c r="I72" s="13" t="s">
        <v>6</v>
      </c>
      <c r="J72" s="13"/>
      <c r="K72" s="13"/>
      <c r="L72" s="13" t="s">
        <v>7</v>
      </c>
      <c r="M72" s="13"/>
      <c r="N72" s="13"/>
    </row>
    <row r="73" spans="1:14" ht="15" customHeight="1">
      <c r="A73" s="33" t="s">
        <v>93</v>
      </c>
      <c r="B73" s="34"/>
      <c r="C73" s="35" t="s">
        <v>1</v>
      </c>
      <c r="D73" s="35" t="s">
        <v>2</v>
      </c>
      <c r="E73" s="20">
        <v>0.4375</v>
      </c>
      <c r="F73" s="20">
        <v>0.44444444444444398</v>
      </c>
      <c r="G73" s="20">
        <v>0.52083333333333304</v>
      </c>
      <c r="H73" s="20">
        <v>0.52777777777777801</v>
      </c>
      <c r="I73" s="20">
        <v>0.5625</v>
      </c>
      <c r="J73" s="20">
        <v>0.64583333333333304</v>
      </c>
      <c r="K73" s="20">
        <v>0.65277777777777801</v>
      </c>
      <c r="L73" s="20">
        <v>0.6875</v>
      </c>
      <c r="M73" s="22">
        <v>0.69444444444444497</v>
      </c>
      <c r="N73" s="23">
        <v>0.73611111111111105</v>
      </c>
    </row>
    <row r="74" spans="1:14" ht="15" customHeight="1">
      <c r="A74" s="25" t="s">
        <v>4</v>
      </c>
      <c r="B74" s="51">
        <f>B72+3</f>
        <v>46356</v>
      </c>
      <c r="C74" s="138" t="s">
        <v>39</v>
      </c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</row>
    <row r="75" spans="1:14" ht="12" customHeight="1">
      <c r="A75" s="25" t="s">
        <v>8</v>
      </c>
      <c r="B75" s="51">
        <f>B74+1</f>
        <v>46357</v>
      </c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</row>
    <row r="76" spans="1:14" ht="15" customHeight="1">
      <c r="A76" s="25" t="s">
        <v>8</v>
      </c>
      <c r="B76" s="26">
        <f>B75+1</f>
        <v>46358</v>
      </c>
      <c r="C76" s="12" t="s">
        <v>88</v>
      </c>
      <c r="D76" s="12"/>
      <c r="E76" s="12"/>
      <c r="F76" s="11" t="s">
        <v>94</v>
      </c>
      <c r="G76" s="11"/>
      <c r="H76" s="11"/>
      <c r="I76" s="13" t="s">
        <v>6</v>
      </c>
      <c r="J76" s="13"/>
      <c r="K76" s="13"/>
      <c r="L76" s="13" t="s">
        <v>7</v>
      </c>
      <c r="M76" s="13"/>
      <c r="N76" s="13"/>
    </row>
    <row r="77" spans="1:14" ht="15" customHeight="1">
      <c r="A77" s="25" t="s">
        <v>21</v>
      </c>
      <c r="B77" s="26">
        <f>B76+1</f>
        <v>46359</v>
      </c>
      <c r="C77" s="137" t="s">
        <v>66</v>
      </c>
      <c r="D77" s="137"/>
      <c r="E77" s="137"/>
      <c r="F77" s="137" t="s">
        <v>67</v>
      </c>
      <c r="G77" s="137"/>
      <c r="H77" s="137"/>
      <c r="I77" s="143" t="s">
        <v>90</v>
      </c>
      <c r="J77" s="143"/>
      <c r="K77" s="143"/>
      <c r="L77" s="143" t="s">
        <v>90</v>
      </c>
      <c r="M77" s="143"/>
      <c r="N77" s="143"/>
    </row>
    <row r="78" spans="1:14" ht="15" customHeight="1">
      <c r="A78" s="25" t="s">
        <v>30</v>
      </c>
      <c r="B78" s="26">
        <f>B77+1</f>
        <v>46360</v>
      </c>
      <c r="C78" s="144" t="s">
        <v>95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</row>
    <row r="79" spans="1:14" ht="12" customHeight="1">
      <c r="A79" s="145" t="s">
        <v>96</v>
      </c>
      <c r="B79" s="145"/>
      <c r="C79" s="35" t="s">
        <v>1</v>
      </c>
      <c r="D79" s="35" t="s">
        <v>2</v>
      </c>
      <c r="E79" s="20">
        <v>0.4375</v>
      </c>
      <c r="F79" s="20">
        <v>0.44444444444444398</v>
      </c>
      <c r="G79" s="20">
        <v>0.52083333333333304</v>
      </c>
      <c r="H79" s="20">
        <v>0.52777777777777801</v>
      </c>
      <c r="I79" s="20">
        <v>0.5625</v>
      </c>
      <c r="J79" s="20">
        <v>0.64583333333333304</v>
      </c>
      <c r="K79" s="20">
        <v>0.65277777777777801</v>
      </c>
      <c r="L79" s="20">
        <v>0.6875</v>
      </c>
      <c r="M79" s="22">
        <v>0.69444444444444497</v>
      </c>
      <c r="N79" s="23">
        <v>0.73611111111111105</v>
      </c>
    </row>
    <row r="80" spans="1:14" ht="15.75" customHeight="1">
      <c r="A80" s="25" t="s">
        <v>4</v>
      </c>
      <c r="B80" s="51">
        <f>B78+3</f>
        <v>46363</v>
      </c>
      <c r="C80" s="138" t="s">
        <v>39</v>
      </c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</row>
    <row r="81" spans="1:14" ht="12" customHeight="1">
      <c r="A81" s="25" t="s">
        <v>8</v>
      </c>
      <c r="B81" s="51">
        <f>B80+1</f>
        <v>46364</v>
      </c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</row>
    <row r="82" spans="1:14" ht="15.75" customHeight="1">
      <c r="A82" s="25" t="s">
        <v>8</v>
      </c>
      <c r="B82" s="26">
        <f>B81+1</f>
        <v>46365</v>
      </c>
      <c r="C82" s="12" t="s">
        <v>9</v>
      </c>
      <c r="D82" s="12"/>
      <c r="E82" s="12"/>
      <c r="F82" s="11" t="s">
        <v>97</v>
      </c>
      <c r="G82" s="11"/>
      <c r="H82" s="11"/>
      <c r="I82" s="13" t="s">
        <v>6</v>
      </c>
      <c r="J82" s="13"/>
      <c r="K82" s="13"/>
      <c r="L82" s="13" t="s">
        <v>7</v>
      </c>
      <c r="M82" s="13"/>
      <c r="N82" s="13"/>
    </row>
    <row r="83" spans="1:14" ht="12" customHeight="1">
      <c r="A83" s="25" t="s">
        <v>21</v>
      </c>
      <c r="B83" s="26">
        <f>B82+1</f>
        <v>46366</v>
      </c>
      <c r="C83" s="137" t="s">
        <v>66</v>
      </c>
      <c r="D83" s="137"/>
      <c r="E83" s="137"/>
      <c r="F83" s="137" t="s">
        <v>67</v>
      </c>
      <c r="G83" s="137"/>
      <c r="H83" s="137"/>
      <c r="I83" s="146"/>
      <c r="J83" s="146"/>
      <c r="K83" s="146"/>
      <c r="L83" s="146"/>
    </row>
    <row r="84" spans="1:14" ht="15.75" customHeight="1">
      <c r="A84" s="25" t="s">
        <v>30</v>
      </c>
      <c r="B84" s="26">
        <f>B83+1</f>
        <v>46367</v>
      </c>
      <c r="C84" s="10" t="s">
        <v>11</v>
      </c>
      <c r="D84" s="10"/>
      <c r="E84" s="10"/>
      <c r="F84" s="9" t="s">
        <v>12</v>
      </c>
      <c r="G84" s="9"/>
      <c r="H84" s="9"/>
      <c r="L84" s="147"/>
      <c r="M84" s="147"/>
      <c r="N84" s="147"/>
    </row>
    <row r="85" spans="1:14" ht="16.5" customHeight="1">
      <c r="A85" s="145" t="s">
        <v>98</v>
      </c>
      <c r="B85" s="145"/>
      <c r="C85" s="19" t="s">
        <v>1</v>
      </c>
      <c r="D85" s="19" t="s">
        <v>2</v>
      </c>
      <c r="E85" s="21">
        <v>0.4375</v>
      </c>
      <c r="F85" s="21">
        <v>0.44444444444444398</v>
      </c>
      <c r="G85" s="21">
        <v>0.52083333333333304</v>
      </c>
      <c r="H85" s="21">
        <v>0.52777777777777801</v>
      </c>
      <c r="I85" s="21">
        <v>0.5625</v>
      </c>
      <c r="J85" s="21">
        <v>0.64583333333333304</v>
      </c>
      <c r="K85" s="21">
        <v>0.65277777777777801</v>
      </c>
      <c r="L85" s="21">
        <v>0.6875</v>
      </c>
      <c r="M85" s="46">
        <v>0.69444444444444497</v>
      </c>
      <c r="N85" s="47">
        <v>0.73611111111111105</v>
      </c>
    </row>
    <row r="86" spans="1:14" ht="15" customHeight="1">
      <c r="A86" s="25" t="s">
        <v>4</v>
      </c>
      <c r="B86" s="51">
        <f>B84+3</f>
        <v>46370</v>
      </c>
      <c r="F86" s="148" t="s">
        <v>99</v>
      </c>
      <c r="G86" s="148"/>
      <c r="H86" s="148"/>
      <c r="J86" s="140" t="s">
        <v>100</v>
      </c>
      <c r="K86" s="140"/>
      <c r="L86" s="140"/>
    </row>
    <row r="87" spans="1:14" ht="14.25" customHeight="1">
      <c r="A87" s="25" t="s">
        <v>8</v>
      </c>
      <c r="B87" s="51">
        <f>B86+1</f>
        <v>46371</v>
      </c>
      <c r="C87" s="149" t="s">
        <v>101</v>
      </c>
      <c r="D87" s="149"/>
      <c r="E87" s="149"/>
      <c r="F87" s="149"/>
      <c r="G87" s="149"/>
      <c r="H87" s="149"/>
      <c r="I87" s="92"/>
      <c r="J87" s="92"/>
      <c r="K87" s="150" t="s">
        <v>102</v>
      </c>
      <c r="L87" s="150"/>
      <c r="M87" s="92"/>
      <c r="N87" s="92"/>
    </row>
    <row r="88" spans="1:14" ht="15" customHeight="1">
      <c r="A88" s="25" t="s">
        <v>8</v>
      </c>
      <c r="B88" s="26">
        <f>B87+1</f>
        <v>46372</v>
      </c>
      <c r="C88" s="12" t="s">
        <v>88</v>
      </c>
      <c r="D88" s="12"/>
      <c r="E88" s="12"/>
      <c r="F88" s="11" t="s">
        <v>103</v>
      </c>
      <c r="G88" s="11"/>
      <c r="H88" s="11"/>
      <c r="I88" s="13" t="s">
        <v>6</v>
      </c>
      <c r="J88" s="13"/>
      <c r="K88" s="13"/>
      <c r="L88" s="13" t="s">
        <v>7</v>
      </c>
      <c r="M88" s="13"/>
      <c r="N88" s="13"/>
    </row>
    <row r="89" spans="1:14" ht="15" customHeight="1">
      <c r="A89" s="25" t="s">
        <v>21</v>
      </c>
      <c r="B89" s="26">
        <f>B88+1</f>
        <v>46373</v>
      </c>
      <c r="C89" s="137" t="s">
        <v>66</v>
      </c>
      <c r="D89" s="137"/>
      <c r="E89" s="137"/>
      <c r="F89" s="137" t="s">
        <v>67</v>
      </c>
      <c r="G89" s="137"/>
      <c r="H89" s="137"/>
      <c r="I89" s="151"/>
      <c r="J89" s="151"/>
      <c r="K89" s="151"/>
      <c r="L89" s="151"/>
      <c r="M89" s="92"/>
      <c r="N89" s="92"/>
    </row>
    <row r="90" spans="1:14" ht="15" customHeight="1">
      <c r="A90" s="93" t="s">
        <v>30</v>
      </c>
      <c r="B90" s="72">
        <f>B89+1</f>
        <v>46374</v>
      </c>
      <c r="C90" s="10" t="s">
        <v>11</v>
      </c>
      <c r="D90" s="10"/>
      <c r="E90" s="10"/>
      <c r="F90" s="9" t="s">
        <v>12</v>
      </c>
      <c r="G90" s="9"/>
      <c r="H90" s="9"/>
      <c r="I90" s="152" t="s">
        <v>104</v>
      </c>
      <c r="J90" s="152"/>
      <c r="K90" s="152"/>
      <c r="L90" s="94"/>
      <c r="M90" s="94"/>
      <c r="N90" s="94"/>
    </row>
    <row r="91" spans="1:14" ht="18" customHeight="1">
      <c r="A91" s="95"/>
      <c r="B91" s="96"/>
      <c r="C91" s="81" t="s">
        <v>1</v>
      </c>
      <c r="D91" s="81" t="s">
        <v>2</v>
      </c>
      <c r="E91" s="82">
        <v>0.4375</v>
      </c>
      <c r="F91" s="82">
        <v>0.44444444444444398</v>
      </c>
      <c r="G91" s="82">
        <v>0.52083333333333304</v>
      </c>
      <c r="H91" s="82">
        <v>0.52777777777777801</v>
      </c>
      <c r="I91" s="82">
        <v>0.5625</v>
      </c>
      <c r="J91" s="82">
        <v>0.64583333333333304</v>
      </c>
      <c r="K91" s="82">
        <v>0.65277777777777801</v>
      </c>
      <c r="L91" s="82">
        <v>0.6875</v>
      </c>
      <c r="M91" s="83">
        <v>0.69444444444444497</v>
      </c>
      <c r="N91" s="84">
        <v>0.73611111111111105</v>
      </c>
    </row>
    <row r="92" spans="1:14" ht="15" customHeight="1">
      <c r="A92" s="97" t="s">
        <v>4</v>
      </c>
      <c r="B92" s="98">
        <f>B90+3</f>
        <v>46377</v>
      </c>
      <c r="C92" s="153" t="s">
        <v>105</v>
      </c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</row>
    <row r="93" spans="1:14" ht="15" customHeight="1">
      <c r="A93" s="25" t="s">
        <v>8</v>
      </c>
      <c r="B93" s="99">
        <f>B92+1</f>
        <v>46378</v>
      </c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</row>
    <row r="94" spans="1:14" ht="19.5" customHeight="1">
      <c r="A94" s="25" t="s">
        <v>8</v>
      </c>
      <c r="B94" s="99">
        <f>B93+1</f>
        <v>46379</v>
      </c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</row>
    <row r="95" spans="1:14" ht="17.25" customHeight="1">
      <c r="A95" s="25" t="s">
        <v>21</v>
      </c>
      <c r="B95" s="99">
        <f>B94+1</f>
        <v>46380</v>
      </c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</row>
    <row r="96" spans="1:14" ht="15" customHeight="1">
      <c r="A96" s="25" t="s">
        <v>30</v>
      </c>
      <c r="B96" s="99">
        <f>B95+1</f>
        <v>46381</v>
      </c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</row>
    <row r="97" spans="1:15" ht="17.25" customHeight="1">
      <c r="A97" s="33"/>
      <c r="B97" s="34"/>
      <c r="C97" s="88" t="s">
        <v>1</v>
      </c>
      <c r="D97" s="88" t="s">
        <v>2</v>
      </c>
      <c r="E97" s="89">
        <v>0.4375</v>
      </c>
      <c r="F97" s="89">
        <v>0.44444444444444398</v>
      </c>
      <c r="G97" s="89">
        <v>0.52083333333333304</v>
      </c>
      <c r="H97" s="89">
        <v>0.52777777777777801</v>
      </c>
      <c r="I97" s="89">
        <v>0.5625</v>
      </c>
      <c r="J97" s="89">
        <v>0.64583333333333304</v>
      </c>
      <c r="K97" s="89">
        <v>0.65277777777777801</v>
      </c>
      <c r="L97" s="89">
        <v>0.6875</v>
      </c>
      <c r="M97" s="90">
        <v>0.69444444444444497</v>
      </c>
      <c r="N97" s="91">
        <v>0.73611111111111105</v>
      </c>
    </row>
    <row r="98" spans="1:15" ht="15" customHeight="1">
      <c r="A98" s="25" t="s">
        <v>4</v>
      </c>
      <c r="B98" s="100">
        <f>B96+3</f>
        <v>46384</v>
      </c>
      <c r="C98" s="154" t="s">
        <v>82</v>
      </c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</row>
    <row r="99" spans="1:15" ht="15" customHeight="1">
      <c r="A99" s="25" t="s">
        <v>8</v>
      </c>
      <c r="B99" s="100">
        <f>B98+1</f>
        <v>46385</v>
      </c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</row>
    <row r="100" spans="1:15" ht="18" customHeight="1">
      <c r="A100" s="25" t="s">
        <v>8</v>
      </c>
      <c r="B100" s="100">
        <f>B99+1</f>
        <v>46386</v>
      </c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01"/>
    </row>
    <row r="101" spans="1:15" ht="23.25" customHeight="1">
      <c r="A101" s="25" t="s">
        <v>21</v>
      </c>
      <c r="B101" s="100">
        <f>B100+1</f>
        <v>46387</v>
      </c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</row>
    <row r="102" spans="1:15" ht="15" customHeight="1">
      <c r="A102" s="25" t="s">
        <v>30</v>
      </c>
      <c r="B102" s="100">
        <f>B101+1</f>
        <v>46388</v>
      </c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</row>
    <row r="103" spans="1:15" ht="17.25" customHeight="1">
      <c r="A103" s="155"/>
      <c r="B103" s="155"/>
      <c r="C103" s="81" t="s">
        <v>1</v>
      </c>
      <c r="D103" s="81" t="s">
        <v>2</v>
      </c>
      <c r="E103" s="82">
        <v>0.4375</v>
      </c>
      <c r="F103" s="82">
        <v>0.44444444444444398</v>
      </c>
      <c r="G103" s="82">
        <v>0.52083333333333304</v>
      </c>
      <c r="H103" s="82">
        <v>0.52777777777777801</v>
      </c>
      <c r="I103" s="82">
        <v>0.5625</v>
      </c>
      <c r="J103" s="82">
        <v>0.64583333333333304</v>
      </c>
      <c r="K103" s="82">
        <v>0.65277777777777801</v>
      </c>
      <c r="L103" s="82">
        <v>0.6875</v>
      </c>
      <c r="M103" s="83">
        <v>0.69444444444444497</v>
      </c>
      <c r="N103" s="84">
        <v>0.73611111111111105</v>
      </c>
    </row>
    <row r="104" spans="1:15" ht="17.25" customHeight="1">
      <c r="A104" s="25" t="s">
        <v>4</v>
      </c>
      <c r="B104" s="51">
        <f>B102+3</f>
        <v>46391</v>
      </c>
      <c r="C104" s="102"/>
      <c r="D104" s="156" t="s">
        <v>106</v>
      </c>
      <c r="E104" s="156"/>
      <c r="F104" s="156"/>
      <c r="G104" s="156"/>
      <c r="H104" s="103"/>
    </row>
    <row r="105" spans="1:15" ht="22.5" customHeight="1">
      <c r="A105" s="25" t="s">
        <v>8</v>
      </c>
      <c r="B105" s="104">
        <f>B104+1</f>
        <v>46392</v>
      </c>
      <c r="D105" s="157" t="s">
        <v>107</v>
      </c>
      <c r="E105" s="157"/>
      <c r="F105" s="157"/>
      <c r="G105" s="157"/>
      <c r="J105" s="156" t="s">
        <v>108</v>
      </c>
      <c r="K105" s="156"/>
      <c r="L105" s="156"/>
      <c r="M105" s="156"/>
    </row>
    <row r="106" spans="1:15" ht="15" customHeight="1">
      <c r="A106" s="25" t="s">
        <v>8</v>
      </c>
      <c r="B106" s="51">
        <f>B105+1</f>
        <v>46393</v>
      </c>
      <c r="F106" s="11" t="s">
        <v>109</v>
      </c>
      <c r="G106" s="11"/>
      <c r="H106" s="11"/>
      <c r="I106" s="158" t="s">
        <v>110</v>
      </c>
      <c r="J106" s="158"/>
      <c r="K106" s="158"/>
      <c r="L106" s="158"/>
      <c r="M106" s="158"/>
      <c r="N106" s="158"/>
    </row>
    <row r="107" spans="1:15" ht="15" customHeight="1">
      <c r="A107" s="25" t="s">
        <v>21</v>
      </c>
      <c r="B107" s="51">
        <f>B106+1</f>
        <v>46394</v>
      </c>
      <c r="I107" s="159" t="s">
        <v>111</v>
      </c>
      <c r="J107" s="159"/>
      <c r="K107" s="159"/>
      <c r="L107" s="160" t="s">
        <v>112</v>
      </c>
      <c r="M107" s="160"/>
      <c r="N107" s="160"/>
    </row>
    <row r="108" spans="1:15" ht="15" customHeight="1">
      <c r="A108" s="25" t="s">
        <v>30</v>
      </c>
      <c r="B108" s="51">
        <f>B107+1</f>
        <v>46395</v>
      </c>
      <c r="C108" s="161" t="s">
        <v>113</v>
      </c>
      <c r="D108" s="161"/>
      <c r="E108" s="161"/>
      <c r="F108" s="161"/>
      <c r="G108" s="161"/>
      <c r="H108" s="161"/>
      <c r="I108" s="159" t="s">
        <v>111</v>
      </c>
      <c r="J108" s="159"/>
      <c r="K108" s="159"/>
      <c r="L108" s="160" t="s">
        <v>112</v>
      </c>
      <c r="M108" s="160"/>
      <c r="N108" s="160"/>
    </row>
    <row r="109" spans="1:15" ht="15" customHeight="1">
      <c r="A109" s="155" t="s">
        <v>114</v>
      </c>
      <c r="B109" s="155"/>
      <c r="C109" s="35" t="s">
        <v>1</v>
      </c>
      <c r="D109" s="35" t="s">
        <v>2</v>
      </c>
      <c r="E109" s="20">
        <v>0.4375</v>
      </c>
      <c r="F109" s="20">
        <v>0.44444444444444398</v>
      </c>
      <c r="G109" s="20">
        <v>0.52083333333333304</v>
      </c>
      <c r="H109" s="20">
        <v>0.52777777777777801</v>
      </c>
      <c r="I109" s="20">
        <v>0.5625</v>
      </c>
      <c r="J109" s="20">
        <v>0.64583333333333304</v>
      </c>
      <c r="K109" s="20">
        <v>0.65277777777777801</v>
      </c>
      <c r="L109" s="20">
        <v>0.6875</v>
      </c>
      <c r="M109" s="22">
        <v>0.69444444444444497</v>
      </c>
      <c r="N109" s="23">
        <v>0.73611111111111105</v>
      </c>
    </row>
    <row r="110" spans="1:15" ht="24.75" customHeight="1">
      <c r="A110" s="25" t="s">
        <v>4</v>
      </c>
      <c r="B110" s="105">
        <f>B108+3</f>
        <v>46398</v>
      </c>
      <c r="C110" s="138" t="s">
        <v>39</v>
      </c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06"/>
    </row>
    <row r="111" spans="1:15" ht="16.5" customHeight="1">
      <c r="A111" s="25" t="s">
        <v>8</v>
      </c>
      <c r="B111" s="105">
        <f>B110+1</f>
        <v>46399</v>
      </c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</row>
    <row r="112" spans="1:15" ht="18.75" customHeight="1">
      <c r="A112" s="25" t="s">
        <v>8</v>
      </c>
      <c r="B112" s="105">
        <f>B111+1</f>
        <v>46400</v>
      </c>
      <c r="F112" s="11" t="s">
        <v>115</v>
      </c>
      <c r="G112" s="11"/>
      <c r="H112" s="11"/>
      <c r="I112" s="158" t="s">
        <v>110</v>
      </c>
      <c r="J112" s="158"/>
      <c r="K112" s="158"/>
      <c r="L112" s="158"/>
      <c r="M112" s="158"/>
      <c r="N112" s="158"/>
    </row>
    <row r="113" spans="1:14" ht="15.75" customHeight="1">
      <c r="A113" s="25" t="s">
        <v>21</v>
      </c>
      <c r="B113" s="105">
        <f>B112+1</f>
        <v>46401</v>
      </c>
      <c r="I113" s="159" t="s">
        <v>111</v>
      </c>
      <c r="J113" s="159"/>
      <c r="K113" s="159"/>
      <c r="L113" s="160" t="s">
        <v>112</v>
      </c>
      <c r="M113" s="160"/>
      <c r="N113" s="160"/>
    </row>
    <row r="114" spans="1:14" ht="15" customHeight="1">
      <c r="A114" s="25" t="s">
        <v>30</v>
      </c>
      <c r="B114" s="105">
        <f>B113+1</f>
        <v>46402</v>
      </c>
      <c r="C114" s="161" t="s">
        <v>113</v>
      </c>
      <c r="D114" s="161"/>
      <c r="E114" s="161"/>
      <c r="F114" s="161"/>
      <c r="G114" s="161"/>
      <c r="H114" s="161"/>
      <c r="I114" s="162"/>
      <c r="J114" s="162"/>
      <c r="K114" s="162"/>
      <c r="L114" s="163"/>
      <c r="M114" s="163"/>
      <c r="N114" s="163"/>
    </row>
    <row r="115" spans="1:14" ht="22.5" customHeight="1">
      <c r="A115" s="164"/>
      <c r="B115" s="164"/>
      <c r="C115" s="88" t="s">
        <v>1</v>
      </c>
      <c r="D115" s="88" t="s">
        <v>2</v>
      </c>
      <c r="E115" s="89">
        <v>0.4375</v>
      </c>
      <c r="F115" s="89">
        <v>0.44444444444444398</v>
      </c>
      <c r="G115" s="89">
        <v>0.52083333333333304</v>
      </c>
      <c r="H115" s="89">
        <v>0.52777777777777801</v>
      </c>
      <c r="I115" s="20">
        <v>0.5625</v>
      </c>
      <c r="J115" s="20">
        <v>0.64583333333333304</v>
      </c>
      <c r="K115" s="20">
        <v>0.65277777777777801</v>
      </c>
      <c r="L115" s="20">
        <v>0.6875</v>
      </c>
      <c r="M115" s="22">
        <v>0.69444444444444497</v>
      </c>
      <c r="N115" s="23">
        <v>0.73611111111111105</v>
      </c>
    </row>
    <row r="116" spans="1:14" ht="15" customHeight="1">
      <c r="A116" s="25" t="s">
        <v>4</v>
      </c>
      <c r="B116" s="51">
        <f>B114+3</f>
        <v>46405</v>
      </c>
      <c r="C116" s="138" t="s">
        <v>39</v>
      </c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</row>
    <row r="117" spans="1:14" ht="15" customHeight="1">
      <c r="A117" s="25" t="s">
        <v>8</v>
      </c>
      <c r="B117" s="51">
        <f>B116+1</f>
        <v>46406</v>
      </c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</row>
    <row r="118" spans="1:14" ht="15" customHeight="1">
      <c r="A118" s="25" t="s">
        <v>8</v>
      </c>
      <c r="B118" s="26">
        <f>B117+1</f>
        <v>46407</v>
      </c>
      <c r="C118" s="159" t="s">
        <v>111</v>
      </c>
      <c r="D118" s="159"/>
      <c r="E118" s="159"/>
      <c r="F118" s="160" t="s">
        <v>112</v>
      </c>
      <c r="G118" s="160"/>
      <c r="H118" s="160"/>
      <c r="I118" s="158" t="s">
        <v>110</v>
      </c>
      <c r="J118" s="158"/>
      <c r="K118" s="158"/>
      <c r="L118" s="158"/>
      <c r="M118" s="158"/>
      <c r="N118" s="158"/>
    </row>
    <row r="119" spans="1:14" ht="15" customHeight="1">
      <c r="A119" s="25" t="s">
        <v>21</v>
      </c>
      <c r="B119" s="26">
        <f>B118+1</f>
        <v>46408</v>
      </c>
      <c r="I119" s="159" t="s">
        <v>111</v>
      </c>
      <c r="J119" s="159"/>
      <c r="K119" s="159"/>
      <c r="L119" s="160" t="s">
        <v>112</v>
      </c>
      <c r="M119" s="160"/>
      <c r="N119" s="160"/>
    </row>
    <row r="120" spans="1:14" ht="18.75" customHeight="1">
      <c r="A120" s="25" t="s">
        <v>30</v>
      </c>
      <c r="B120" s="26">
        <f>B119+1</f>
        <v>46409</v>
      </c>
      <c r="C120" s="161" t="s">
        <v>113</v>
      </c>
      <c r="D120" s="161"/>
      <c r="E120" s="161"/>
      <c r="F120" s="161"/>
      <c r="G120" s="161"/>
      <c r="H120" s="161"/>
    </row>
    <row r="121" spans="1:14">
      <c r="A121" s="164"/>
      <c r="B121" s="164"/>
      <c r="C121" s="35" t="s">
        <v>1</v>
      </c>
      <c r="D121" s="35" t="s">
        <v>2</v>
      </c>
      <c r="E121" s="20">
        <v>0.4375</v>
      </c>
      <c r="F121" s="20">
        <v>0.44444444444444398</v>
      </c>
      <c r="G121" s="20">
        <v>0.52083333333333304</v>
      </c>
      <c r="H121" s="20">
        <v>0.52777777777777801</v>
      </c>
      <c r="I121" s="89">
        <v>0.5625</v>
      </c>
      <c r="J121" s="89">
        <v>0.64583333333333304</v>
      </c>
      <c r="K121" s="20">
        <v>0.65277777777777801</v>
      </c>
      <c r="L121" s="20">
        <v>0.6875</v>
      </c>
      <c r="M121" s="22">
        <v>0.69444444444444497</v>
      </c>
      <c r="N121" s="23">
        <v>0.73611111111111105</v>
      </c>
    </row>
    <row r="122" spans="1:14" ht="15" customHeight="1">
      <c r="A122" s="30" t="s">
        <v>116</v>
      </c>
      <c r="B122" s="107">
        <f>B120+3</f>
        <v>46412</v>
      </c>
      <c r="C122" s="138" t="s">
        <v>39</v>
      </c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</row>
    <row r="123" spans="1:14">
      <c r="A123" s="30" t="s">
        <v>8</v>
      </c>
      <c r="B123" s="108">
        <f>B122+1</f>
        <v>46413</v>
      </c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</row>
    <row r="124" spans="1:14" ht="15" customHeight="1">
      <c r="A124" s="30" t="s">
        <v>8</v>
      </c>
      <c r="B124" s="109">
        <f>B123+1</f>
        <v>46414</v>
      </c>
      <c r="C124" s="165"/>
      <c r="D124" s="165"/>
      <c r="E124" s="165"/>
      <c r="F124" s="165"/>
      <c r="G124" s="165"/>
      <c r="H124" s="165"/>
      <c r="I124" s="158" t="s">
        <v>110</v>
      </c>
      <c r="J124" s="158"/>
      <c r="K124" s="158"/>
      <c r="L124" s="158"/>
      <c r="M124" s="158"/>
      <c r="N124" s="158"/>
    </row>
    <row r="125" spans="1:14" ht="15" customHeight="1">
      <c r="A125" s="30" t="s">
        <v>21</v>
      </c>
      <c r="B125" s="109">
        <f>B124+1</f>
        <v>46415</v>
      </c>
      <c r="C125" s="110"/>
      <c r="D125" s="166" t="s">
        <v>117</v>
      </c>
      <c r="E125" s="166"/>
      <c r="F125" s="166"/>
      <c r="G125" s="166"/>
      <c r="H125" s="166"/>
      <c r="I125" s="159" t="s">
        <v>111</v>
      </c>
      <c r="J125" s="159"/>
      <c r="K125" s="159"/>
      <c r="L125" s="160" t="s">
        <v>112</v>
      </c>
      <c r="M125" s="160"/>
      <c r="N125" s="160"/>
    </row>
    <row r="126" spans="1:14" ht="15" customHeight="1">
      <c r="A126" s="30" t="s">
        <v>30</v>
      </c>
      <c r="B126" s="109">
        <f>B125+1</f>
        <v>46416</v>
      </c>
      <c r="C126" s="161" t="s">
        <v>113</v>
      </c>
      <c r="D126" s="161"/>
      <c r="E126" s="161"/>
      <c r="F126" s="161"/>
      <c r="G126" s="161"/>
      <c r="H126" s="161"/>
    </row>
    <row r="127" spans="1:14">
      <c r="A127" s="164"/>
      <c r="B127" s="164"/>
      <c r="C127" s="35" t="s">
        <v>1</v>
      </c>
      <c r="D127" s="35" t="s">
        <v>2</v>
      </c>
      <c r="E127" s="20">
        <v>0.4375</v>
      </c>
      <c r="F127" s="20">
        <v>0.44444444444444398</v>
      </c>
      <c r="G127" s="20">
        <v>0.52083333333333304</v>
      </c>
      <c r="H127" s="20">
        <v>0.52777777777777801</v>
      </c>
      <c r="I127" s="89">
        <v>0.5625</v>
      </c>
      <c r="J127" s="89">
        <v>0.64583333333333304</v>
      </c>
      <c r="K127" s="20">
        <v>0.65277777777777801</v>
      </c>
      <c r="L127" s="20">
        <v>0.6875</v>
      </c>
      <c r="M127" s="22">
        <v>0.69444444444444497</v>
      </c>
      <c r="N127" s="23">
        <v>0.73611111111111105</v>
      </c>
    </row>
    <row r="128" spans="1:14" ht="15" customHeight="1">
      <c r="A128" s="30" t="s">
        <v>116</v>
      </c>
      <c r="B128" s="108">
        <f>B126+3</f>
        <v>46419</v>
      </c>
      <c r="C128" s="138" t="s">
        <v>39</v>
      </c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</row>
    <row r="129" spans="1:14">
      <c r="A129" s="30" t="s">
        <v>8</v>
      </c>
      <c r="B129" s="108">
        <f>B128+1</f>
        <v>46420</v>
      </c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</row>
    <row r="130" spans="1:14" ht="15" customHeight="1">
      <c r="A130" s="30" t="s">
        <v>8</v>
      </c>
      <c r="B130" s="109">
        <f>B129+1</f>
        <v>46421</v>
      </c>
      <c r="C130" s="159" t="s">
        <v>111</v>
      </c>
      <c r="D130" s="159"/>
      <c r="E130" s="159"/>
      <c r="F130" s="160" t="s">
        <v>112</v>
      </c>
      <c r="G130" s="160"/>
      <c r="H130" s="160"/>
      <c r="I130" s="167" t="s">
        <v>118</v>
      </c>
      <c r="J130" s="167"/>
      <c r="K130" s="167"/>
      <c r="L130" s="167"/>
      <c r="M130" s="167"/>
      <c r="N130" s="167"/>
    </row>
    <row r="131" spans="1:14" ht="15" customHeight="1">
      <c r="A131" s="30" t="s">
        <v>21</v>
      </c>
      <c r="B131" s="109">
        <f>B130+1</f>
        <v>46422</v>
      </c>
      <c r="I131" s="159" t="s">
        <v>111</v>
      </c>
      <c r="J131" s="159"/>
      <c r="K131" s="159"/>
      <c r="L131" s="160" t="s">
        <v>112</v>
      </c>
      <c r="M131" s="160"/>
      <c r="N131" s="160"/>
    </row>
    <row r="132" spans="1:14" ht="15.75" customHeight="1">
      <c r="A132" s="30" t="s">
        <v>30</v>
      </c>
      <c r="B132" s="109">
        <f>B131+1</f>
        <v>46423</v>
      </c>
      <c r="C132" s="167" t="s">
        <v>118</v>
      </c>
      <c r="D132" s="167"/>
      <c r="E132" s="167"/>
      <c r="F132" s="167"/>
      <c r="G132" s="167"/>
      <c r="H132" s="167"/>
    </row>
    <row r="133" spans="1:14">
      <c r="A133" s="164"/>
      <c r="B133" s="164"/>
      <c r="C133" s="35" t="s">
        <v>1</v>
      </c>
      <c r="D133" s="35" t="s">
        <v>2</v>
      </c>
      <c r="E133" s="20">
        <v>0.4375</v>
      </c>
      <c r="F133" s="20">
        <v>0.44444444444444398</v>
      </c>
      <c r="G133" s="20">
        <v>0.52083333333333304</v>
      </c>
      <c r="H133" s="20">
        <v>0.52777777777777801</v>
      </c>
      <c r="I133" s="89">
        <v>0.5625</v>
      </c>
      <c r="J133" s="89">
        <v>0.64583333333333304</v>
      </c>
      <c r="K133" s="20">
        <v>0.65277777777777801</v>
      </c>
      <c r="L133" s="20">
        <v>0.6875</v>
      </c>
      <c r="M133" s="22">
        <v>0.69444444444444497</v>
      </c>
      <c r="N133" s="23">
        <v>0.73611111111111105</v>
      </c>
    </row>
    <row r="134" spans="1:14" ht="15" customHeight="1">
      <c r="A134" s="30" t="s">
        <v>116</v>
      </c>
      <c r="B134" s="111">
        <f>B132+3</f>
        <v>46426</v>
      </c>
      <c r="C134" s="138" t="s">
        <v>39</v>
      </c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</row>
    <row r="135" spans="1:14">
      <c r="A135" s="30" t="s">
        <v>8</v>
      </c>
      <c r="B135" s="111">
        <f>B134+1</f>
        <v>46427</v>
      </c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</row>
    <row r="136" spans="1:14" ht="25.5" customHeight="1">
      <c r="A136" s="30" t="s">
        <v>8</v>
      </c>
      <c r="B136" s="111">
        <f>B135+1</f>
        <v>46428</v>
      </c>
      <c r="C136" s="165"/>
      <c r="D136" s="165"/>
      <c r="E136" s="165"/>
      <c r="F136" s="165"/>
      <c r="G136" s="165"/>
      <c r="H136" s="165"/>
      <c r="I136" s="167" t="s">
        <v>118</v>
      </c>
      <c r="J136" s="167"/>
      <c r="K136" s="167"/>
      <c r="L136" s="167"/>
      <c r="M136" s="167"/>
      <c r="N136" s="167"/>
    </row>
    <row r="137" spans="1:14" ht="15" customHeight="1">
      <c r="A137" s="30" t="s">
        <v>21</v>
      </c>
      <c r="B137" s="112">
        <f>B136+1</f>
        <v>46429</v>
      </c>
      <c r="C137" s="113"/>
      <c r="D137" s="168" t="s">
        <v>117</v>
      </c>
      <c r="E137" s="168"/>
      <c r="F137" s="168"/>
      <c r="G137" s="168"/>
      <c r="H137" s="168"/>
      <c r="I137" s="159" t="s">
        <v>111</v>
      </c>
      <c r="J137" s="159"/>
      <c r="K137" s="159"/>
      <c r="L137" s="160" t="s">
        <v>112</v>
      </c>
      <c r="M137" s="160"/>
      <c r="N137" s="160"/>
    </row>
    <row r="138" spans="1:14">
      <c r="A138" s="30" t="s">
        <v>30</v>
      </c>
      <c r="B138" s="112">
        <f>B137+1</f>
        <v>46430</v>
      </c>
      <c r="C138" s="167" t="s">
        <v>118</v>
      </c>
      <c r="D138" s="167"/>
      <c r="E138" s="167"/>
      <c r="F138" s="167"/>
      <c r="G138" s="167"/>
      <c r="H138" s="167"/>
    </row>
    <row r="139" spans="1:14" ht="15" customHeight="1">
      <c r="A139" s="169" t="s">
        <v>119</v>
      </c>
      <c r="B139" s="169"/>
      <c r="C139" s="35" t="s">
        <v>1</v>
      </c>
      <c r="D139" s="35" t="s">
        <v>2</v>
      </c>
      <c r="E139" s="20">
        <v>0.4375</v>
      </c>
      <c r="F139" s="20">
        <v>0.44444444444444398</v>
      </c>
      <c r="G139" s="20">
        <v>0.52083333333333304</v>
      </c>
      <c r="H139" s="20">
        <v>0.52777777777777801</v>
      </c>
      <c r="I139" s="20">
        <v>0.5625</v>
      </c>
      <c r="J139" s="20">
        <v>0.64583333333333304</v>
      </c>
      <c r="K139" s="20">
        <v>0.65277777777777801</v>
      </c>
      <c r="L139" s="20">
        <v>0.6875</v>
      </c>
      <c r="M139" s="22">
        <v>0.69444444444444497</v>
      </c>
      <c r="N139" s="23">
        <v>0.73611111111111105</v>
      </c>
    </row>
    <row r="140" spans="1:14" ht="15" customHeight="1">
      <c r="A140" s="30" t="s">
        <v>116</v>
      </c>
      <c r="B140" s="108">
        <f>B138+3</f>
        <v>46433</v>
      </c>
      <c r="C140" s="154" t="s">
        <v>82</v>
      </c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</row>
    <row r="141" spans="1:14" ht="14.25" customHeight="1">
      <c r="A141" s="30" t="s">
        <v>8</v>
      </c>
      <c r="B141" s="108">
        <f>B140+1</f>
        <v>46434</v>
      </c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</row>
    <row r="142" spans="1:14">
      <c r="A142" s="30" t="s">
        <v>8</v>
      </c>
      <c r="B142" s="108">
        <f>B141+1</f>
        <v>46435</v>
      </c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</row>
    <row r="143" spans="1:14" ht="14.25" customHeight="1">
      <c r="A143" s="30" t="s">
        <v>21</v>
      </c>
      <c r="B143" s="108">
        <f>B142+1</f>
        <v>46436</v>
      </c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</row>
    <row r="144" spans="1:14" ht="15.75" customHeight="1">
      <c r="A144" s="30" t="s">
        <v>30</v>
      </c>
      <c r="B144" s="108">
        <f>B143+1</f>
        <v>46437</v>
      </c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</row>
    <row r="145" spans="1:14" ht="15.75" customHeight="1">
      <c r="A145" s="170"/>
      <c r="B145" s="170"/>
      <c r="C145" s="35" t="s">
        <v>1</v>
      </c>
      <c r="D145" s="35" t="s">
        <v>2</v>
      </c>
      <c r="E145" s="20">
        <v>0.4375</v>
      </c>
      <c r="F145" s="20">
        <v>0.44444444444444398</v>
      </c>
      <c r="G145" s="20">
        <v>0.52083333333333304</v>
      </c>
      <c r="H145" s="20">
        <v>0.52777777777777801</v>
      </c>
      <c r="I145" s="20">
        <v>0.5625</v>
      </c>
      <c r="J145" s="20">
        <v>0.64583333333333304</v>
      </c>
      <c r="K145" s="20">
        <v>0.65277777777777801</v>
      </c>
      <c r="L145" s="20">
        <v>0.6875</v>
      </c>
      <c r="M145" s="22">
        <v>0.69444444444444497</v>
      </c>
      <c r="N145" s="23">
        <v>0.73611111111111105</v>
      </c>
    </row>
    <row r="146" spans="1:14" ht="14.25" customHeight="1">
      <c r="A146" s="30" t="s">
        <v>116</v>
      </c>
      <c r="B146" s="114">
        <f>B144+3</f>
        <v>46440</v>
      </c>
      <c r="C146" s="138" t="s">
        <v>39</v>
      </c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</row>
    <row r="147" spans="1:14" ht="15" customHeight="1">
      <c r="A147" s="30" t="s">
        <v>8</v>
      </c>
      <c r="B147" s="114">
        <f>B146+1</f>
        <v>46441</v>
      </c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</row>
    <row r="148" spans="1:14">
      <c r="A148" s="30" t="s">
        <v>8</v>
      </c>
      <c r="B148" s="114">
        <f>B147+1</f>
        <v>46442</v>
      </c>
      <c r="E148" s="171" t="s">
        <v>120</v>
      </c>
      <c r="F148" s="171"/>
      <c r="G148" s="171"/>
      <c r="I148" s="172"/>
      <c r="J148" s="172"/>
      <c r="K148" s="172"/>
      <c r="L148" s="172"/>
      <c r="M148" s="172"/>
      <c r="N148" s="172"/>
    </row>
    <row r="149" spans="1:14">
      <c r="A149" s="30" t="s">
        <v>21</v>
      </c>
      <c r="B149" s="114">
        <f>B148+1</f>
        <v>46443</v>
      </c>
      <c r="I149" s="172"/>
      <c r="J149" s="172"/>
      <c r="K149" s="172"/>
      <c r="L149" s="172"/>
      <c r="M149" s="172"/>
      <c r="N149" s="172"/>
    </row>
    <row r="150" spans="1:14" ht="15.75" customHeight="1">
      <c r="A150" s="30" t="s">
        <v>30</v>
      </c>
      <c r="B150" s="114">
        <f>B149+1</f>
        <v>46444</v>
      </c>
    </row>
    <row r="151" spans="1:14">
      <c r="A151" s="169"/>
      <c r="B151" s="169"/>
      <c r="C151" s="115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</row>
    <row r="152" spans="1:14" ht="15" customHeight="1">
      <c r="A152" s="15" t="s">
        <v>116</v>
      </c>
      <c r="B152" s="117">
        <f>B150+3</f>
        <v>46447</v>
      </c>
      <c r="C152" s="173" t="s">
        <v>121</v>
      </c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</row>
    <row r="153" spans="1:14" ht="15" customHeight="1">
      <c r="A153" s="15" t="s">
        <v>8</v>
      </c>
      <c r="B153" s="117">
        <f>B152+1</f>
        <v>46448</v>
      </c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</row>
    <row r="154" spans="1:14" ht="15" customHeight="1">
      <c r="A154" s="15" t="s">
        <v>8</v>
      </c>
      <c r="B154" s="117">
        <f>B153+1</f>
        <v>46449</v>
      </c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</row>
    <row r="155" spans="1:14">
      <c r="A155" s="15" t="s">
        <v>21</v>
      </c>
      <c r="B155" s="117">
        <f>B154+1</f>
        <v>46450</v>
      </c>
      <c r="C155" s="174" t="s">
        <v>122</v>
      </c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</row>
    <row r="156" spans="1:14">
      <c r="A156" s="15" t="s">
        <v>30</v>
      </c>
      <c r="B156" s="117">
        <f>B155+1</f>
        <v>46451</v>
      </c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</row>
    <row r="157" spans="1:14">
      <c r="A157" s="164"/>
      <c r="B157" s="164"/>
      <c r="C157" s="35" t="s">
        <v>1</v>
      </c>
      <c r="D157" s="35" t="s">
        <v>2</v>
      </c>
      <c r="E157" s="20">
        <v>0.4375</v>
      </c>
      <c r="F157" s="20">
        <v>0.44444444444444398</v>
      </c>
      <c r="G157" s="20">
        <v>0.52083333333333304</v>
      </c>
      <c r="H157" s="20">
        <v>0.52777777777777801</v>
      </c>
      <c r="I157" s="20">
        <v>0.5625</v>
      </c>
      <c r="J157" s="20">
        <v>0.64583333333333304</v>
      </c>
      <c r="K157" s="20">
        <v>0.65277777777777801</v>
      </c>
      <c r="L157" s="20">
        <v>0.6875</v>
      </c>
      <c r="M157" s="22">
        <v>0.69444444444444497</v>
      </c>
      <c r="N157" s="23">
        <v>0.73611111111111105</v>
      </c>
    </row>
    <row r="158" spans="1:14" ht="15" customHeight="1">
      <c r="A158" s="15" t="s">
        <v>116</v>
      </c>
      <c r="B158" s="114">
        <f>B156+3</f>
        <v>46454</v>
      </c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118"/>
      <c r="N158" s="30"/>
    </row>
    <row r="159" spans="1:14" ht="15.75" customHeight="1">
      <c r="A159" s="15" t="s">
        <v>8</v>
      </c>
      <c r="B159" s="108">
        <v>44285</v>
      </c>
      <c r="C159" s="175" t="s">
        <v>123</v>
      </c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</row>
    <row r="160" spans="1:14" ht="15" customHeight="1">
      <c r="A160" s="15" t="s">
        <v>8</v>
      </c>
      <c r="B160" s="108">
        <v>44313</v>
      </c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</row>
    <row r="161" spans="1:14">
      <c r="A161" s="15" t="s">
        <v>21</v>
      </c>
      <c r="B161" s="108">
        <v>44334</v>
      </c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</row>
    <row r="162" spans="1:14">
      <c r="A162" s="15" t="s">
        <v>30</v>
      </c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118"/>
      <c r="N162" s="30"/>
    </row>
    <row r="163" spans="1:14">
      <c r="B163" s="119" t="s">
        <v>124</v>
      </c>
      <c r="C163" s="176" t="s">
        <v>125</v>
      </c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30"/>
    </row>
    <row r="164" spans="1:14">
      <c r="B164" s="119" t="s">
        <v>126</v>
      </c>
      <c r="C164" s="176" t="s">
        <v>127</v>
      </c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30"/>
    </row>
    <row r="166" spans="1:14">
      <c r="C166" s="120" t="s">
        <v>128</v>
      </c>
      <c r="D166" s="120"/>
      <c r="E166" s="121"/>
    </row>
    <row r="167" spans="1:14">
      <c r="C167" s="120"/>
      <c r="D167" s="120"/>
      <c r="E167" s="121"/>
    </row>
    <row r="168" spans="1:14">
      <c r="C168" s="120" t="s">
        <v>129</v>
      </c>
      <c r="D168" s="120"/>
      <c r="E168" s="121"/>
    </row>
    <row r="169" spans="1:14">
      <c r="C169" s="120" t="s">
        <v>130</v>
      </c>
      <c r="D169" s="120"/>
      <c r="E169" s="121"/>
    </row>
  </sheetData>
  <mergeCells count="245">
    <mergeCell ref="C152:N154"/>
    <mergeCell ref="C155:N156"/>
    <mergeCell ref="A157:B157"/>
    <mergeCell ref="C159:N161"/>
    <mergeCell ref="C163:M163"/>
    <mergeCell ref="C164:M164"/>
    <mergeCell ref="C138:H138"/>
    <mergeCell ref="A139:B139"/>
    <mergeCell ref="C140:N144"/>
    <mergeCell ref="A145:B145"/>
    <mergeCell ref="C146:N147"/>
    <mergeCell ref="E148:G148"/>
    <mergeCell ref="I148:N148"/>
    <mergeCell ref="I149:N149"/>
    <mergeCell ref="A151:B151"/>
    <mergeCell ref="C132:H132"/>
    <mergeCell ref="A133:B133"/>
    <mergeCell ref="C134:N135"/>
    <mergeCell ref="C136:H136"/>
    <mergeCell ref="I136:N136"/>
    <mergeCell ref="D137:H137"/>
    <mergeCell ref="I137:K137"/>
    <mergeCell ref="L137:N137"/>
    <mergeCell ref="C126:H126"/>
    <mergeCell ref="A127:B127"/>
    <mergeCell ref="C128:N129"/>
    <mergeCell ref="C130:E130"/>
    <mergeCell ref="F130:H130"/>
    <mergeCell ref="I130:N130"/>
    <mergeCell ref="I131:K131"/>
    <mergeCell ref="L131:N131"/>
    <mergeCell ref="C120:H120"/>
    <mergeCell ref="A121:B121"/>
    <mergeCell ref="C122:N123"/>
    <mergeCell ref="C124:H124"/>
    <mergeCell ref="I124:N124"/>
    <mergeCell ref="D125:H125"/>
    <mergeCell ref="I125:K125"/>
    <mergeCell ref="L125:N125"/>
    <mergeCell ref="C114:H114"/>
    <mergeCell ref="I114:K114"/>
    <mergeCell ref="L114:N114"/>
    <mergeCell ref="A115:B115"/>
    <mergeCell ref="C116:N117"/>
    <mergeCell ref="C118:E118"/>
    <mergeCell ref="F118:H118"/>
    <mergeCell ref="I118:N118"/>
    <mergeCell ref="I119:K119"/>
    <mergeCell ref="L119:N119"/>
    <mergeCell ref="C108:H108"/>
    <mergeCell ref="I108:K108"/>
    <mergeCell ref="L108:N108"/>
    <mergeCell ref="A109:B109"/>
    <mergeCell ref="C110:N111"/>
    <mergeCell ref="F112:H112"/>
    <mergeCell ref="I112:N112"/>
    <mergeCell ref="I113:K113"/>
    <mergeCell ref="L113:N113"/>
    <mergeCell ref="D104:G104"/>
    <mergeCell ref="D105:G105"/>
    <mergeCell ref="J105:M105"/>
    <mergeCell ref="F106:H106"/>
    <mergeCell ref="I106:N106"/>
    <mergeCell ref="I107:K107"/>
    <mergeCell ref="L107:N107"/>
    <mergeCell ref="C89:E89"/>
    <mergeCell ref="F89:H89"/>
    <mergeCell ref="I89:L89"/>
    <mergeCell ref="C90:E90"/>
    <mergeCell ref="F90:H90"/>
    <mergeCell ref="I90:K90"/>
    <mergeCell ref="C92:N96"/>
    <mergeCell ref="C98:N102"/>
    <mergeCell ref="A103:B103"/>
    <mergeCell ref="C84:E84"/>
    <mergeCell ref="F84:H84"/>
    <mergeCell ref="L84:N84"/>
    <mergeCell ref="A85:B85"/>
    <mergeCell ref="F86:H86"/>
    <mergeCell ref="J86:L86"/>
    <mergeCell ref="C87:H87"/>
    <mergeCell ref="K87:L87"/>
    <mergeCell ref="C88:E88"/>
    <mergeCell ref="F88:H88"/>
    <mergeCell ref="I88:K88"/>
    <mergeCell ref="L88:N88"/>
    <mergeCell ref="C78:N78"/>
    <mergeCell ref="A79:B79"/>
    <mergeCell ref="C80:N81"/>
    <mergeCell ref="C82:E82"/>
    <mergeCell ref="F82:H82"/>
    <mergeCell ref="I82:K82"/>
    <mergeCell ref="L82:N82"/>
    <mergeCell ref="C83:E83"/>
    <mergeCell ref="F83:H83"/>
    <mergeCell ref="I83:L83"/>
    <mergeCell ref="C74:N75"/>
    <mergeCell ref="C76:E76"/>
    <mergeCell ref="F76:H76"/>
    <mergeCell ref="I76:K76"/>
    <mergeCell ref="L76:N76"/>
    <mergeCell ref="C77:E77"/>
    <mergeCell ref="F77:H77"/>
    <mergeCell ref="I77:K77"/>
    <mergeCell ref="L77:N77"/>
    <mergeCell ref="C70:E70"/>
    <mergeCell ref="F70:H70"/>
    <mergeCell ref="I70:K70"/>
    <mergeCell ref="L70:N70"/>
    <mergeCell ref="C71:E71"/>
    <mergeCell ref="F71:H71"/>
    <mergeCell ref="I71:K71"/>
    <mergeCell ref="L71:N71"/>
    <mergeCell ref="C72:E72"/>
    <mergeCell ref="F72:H72"/>
    <mergeCell ref="I72:K72"/>
    <mergeCell ref="L72:N72"/>
    <mergeCell ref="C65:E65"/>
    <mergeCell ref="F65:H65"/>
    <mergeCell ref="I65:K65"/>
    <mergeCell ref="L65:N65"/>
    <mergeCell ref="C66:E66"/>
    <mergeCell ref="F66:H66"/>
    <mergeCell ref="I66:K66"/>
    <mergeCell ref="L66:N66"/>
    <mergeCell ref="C68:N69"/>
    <mergeCell ref="C60:E60"/>
    <mergeCell ref="F60:H60"/>
    <mergeCell ref="I60:K60"/>
    <mergeCell ref="L60:N60"/>
    <mergeCell ref="C62:N63"/>
    <mergeCell ref="C64:E64"/>
    <mergeCell ref="F64:H64"/>
    <mergeCell ref="I64:K64"/>
    <mergeCell ref="L64:N64"/>
    <mergeCell ref="C54:E54"/>
    <mergeCell ref="F54:H54"/>
    <mergeCell ref="I54:K54"/>
    <mergeCell ref="L54:N54"/>
    <mergeCell ref="C56:N56"/>
    <mergeCell ref="C57:N57"/>
    <mergeCell ref="C59:E59"/>
    <mergeCell ref="F59:H59"/>
    <mergeCell ref="I59:K59"/>
    <mergeCell ref="L59:N59"/>
    <mergeCell ref="C44:N48"/>
    <mergeCell ref="C50:N51"/>
    <mergeCell ref="C52:E52"/>
    <mergeCell ref="F52:H52"/>
    <mergeCell ref="I52:K52"/>
    <mergeCell ref="L52:N52"/>
    <mergeCell ref="C53:E53"/>
    <mergeCell ref="F53:H53"/>
    <mergeCell ref="I53:K53"/>
    <mergeCell ref="L53:N53"/>
    <mergeCell ref="C40:E40"/>
    <mergeCell ref="F40:H40"/>
    <mergeCell ref="I40:K40"/>
    <mergeCell ref="L40:N40"/>
    <mergeCell ref="C41:E41"/>
    <mergeCell ref="F41:H41"/>
    <mergeCell ref="I41:K41"/>
    <mergeCell ref="L41:N41"/>
    <mergeCell ref="C42:E42"/>
    <mergeCell ref="F42:H42"/>
    <mergeCell ref="I42:K42"/>
    <mergeCell ref="L42:N42"/>
    <mergeCell ref="C35:E35"/>
    <mergeCell ref="F35:H35"/>
    <mergeCell ref="I35:K35"/>
    <mergeCell ref="L35:N35"/>
    <mergeCell ref="C36:E36"/>
    <mergeCell ref="F36:H36"/>
    <mergeCell ref="I36:K36"/>
    <mergeCell ref="L36:N36"/>
    <mergeCell ref="C38:N39"/>
    <mergeCell ref="C30:E30"/>
    <mergeCell ref="F30:H30"/>
    <mergeCell ref="I30:K30"/>
    <mergeCell ref="L30:N30"/>
    <mergeCell ref="C32:N33"/>
    <mergeCell ref="C34:E34"/>
    <mergeCell ref="F34:H34"/>
    <mergeCell ref="I34:K34"/>
    <mergeCell ref="L34:N34"/>
    <mergeCell ref="C26:N27"/>
    <mergeCell ref="C28:E28"/>
    <mergeCell ref="F28:H28"/>
    <mergeCell ref="I28:K28"/>
    <mergeCell ref="L28:N28"/>
    <mergeCell ref="C29:E29"/>
    <mergeCell ref="F29:H29"/>
    <mergeCell ref="I29:K29"/>
    <mergeCell ref="L29:N29"/>
    <mergeCell ref="C20:N21"/>
    <mergeCell ref="C22:G22"/>
    <mergeCell ref="I22:K22"/>
    <mergeCell ref="L22:N22"/>
    <mergeCell ref="C23:E23"/>
    <mergeCell ref="F23:H23"/>
    <mergeCell ref="I23:K23"/>
    <mergeCell ref="L23:N23"/>
    <mergeCell ref="C24:E24"/>
    <mergeCell ref="F24:H24"/>
    <mergeCell ref="I24:K24"/>
    <mergeCell ref="L24:N24"/>
    <mergeCell ref="C16:G16"/>
    <mergeCell ref="I16:K16"/>
    <mergeCell ref="L16:N16"/>
    <mergeCell ref="C17:E17"/>
    <mergeCell ref="F17:H17"/>
    <mergeCell ref="I17:K17"/>
    <mergeCell ref="L17:N17"/>
    <mergeCell ref="C18:E18"/>
    <mergeCell ref="F18:H18"/>
    <mergeCell ref="I18:K18"/>
    <mergeCell ref="L18:N18"/>
    <mergeCell ref="C11:E11"/>
    <mergeCell ref="F11:H11"/>
    <mergeCell ref="I11:K11"/>
    <mergeCell ref="L11:N11"/>
    <mergeCell ref="C12:E12"/>
    <mergeCell ref="F12:H12"/>
    <mergeCell ref="I12:K12"/>
    <mergeCell ref="L12:N12"/>
    <mergeCell ref="C14:N15"/>
    <mergeCell ref="C5:E5"/>
    <mergeCell ref="F5:H5"/>
    <mergeCell ref="I5:K5"/>
    <mergeCell ref="L5:N5"/>
    <mergeCell ref="C6:N6"/>
    <mergeCell ref="C8:N9"/>
    <mergeCell ref="C10:G10"/>
    <mergeCell ref="I10:K10"/>
    <mergeCell ref="L10:N10"/>
    <mergeCell ref="D2:E2"/>
    <mergeCell ref="I2:K2"/>
    <mergeCell ref="L2:N2"/>
    <mergeCell ref="C3:E3"/>
    <mergeCell ref="F3:H3"/>
    <mergeCell ref="I3:K3"/>
    <mergeCell ref="L3:N3"/>
    <mergeCell ref="C4:G4"/>
    <mergeCell ref="I4:K4"/>
    <mergeCell ref="L4:N4"/>
  </mergeCells>
  <conditionalFormatting sqref="C18 F18">
    <cfRule type="cellIs" dxfId="12" priority="12" operator="equal">
      <formula>"INCONNU"</formula>
    </cfRule>
  </conditionalFormatting>
  <conditionalFormatting sqref="C30 F30">
    <cfRule type="cellIs" dxfId="11" priority="11" operator="equal">
      <formula>"INCONNU"</formula>
    </cfRule>
  </conditionalFormatting>
  <conditionalFormatting sqref="C35 F35">
    <cfRule type="cellIs" dxfId="10" priority="2" operator="equal">
      <formula>"INCONNU"</formula>
    </cfRule>
  </conditionalFormatting>
  <conditionalFormatting sqref="C60 F60">
    <cfRule type="cellIs" dxfId="9" priority="10" operator="equal">
      <formula>"INCONNU"</formula>
    </cfRule>
  </conditionalFormatting>
  <conditionalFormatting sqref="C65 F65">
    <cfRule type="cellIs" dxfId="8" priority="9" operator="equal">
      <formula>"INCONNU"</formula>
    </cfRule>
  </conditionalFormatting>
  <conditionalFormatting sqref="C71 F71">
    <cfRule type="cellIs" dxfId="7" priority="8" operator="equal">
      <formula>"INCONNU"</formula>
    </cfRule>
  </conditionalFormatting>
  <conditionalFormatting sqref="C77 F77">
    <cfRule type="cellIs" dxfId="6" priority="7" operator="equal">
      <formula>"INCONNU"</formula>
    </cfRule>
  </conditionalFormatting>
  <conditionalFormatting sqref="C83 F83">
    <cfRule type="cellIs" dxfId="5" priority="6" operator="equal">
      <formula>"INCONNU"</formula>
    </cfRule>
  </conditionalFormatting>
  <conditionalFormatting sqref="C87">
    <cfRule type="cellIs" dxfId="4" priority="4" operator="equal">
      <formula>"INCONNU"</formula>
    </cfRule>
  </conditionalFormatting>
  <conditionalFormatting sqref="C89 F89">
    <cfRule type="cellIs" dxfId="3" priority="5" operator="equal">
      <formula>"INCONNU"</formula>
    </cfRule>
  </conditionalFormatting>
  <conditionalFormatting sqref="D137">
    <cfRule type="cellIs" dxfId="2" priority="3" operator="equal">
      <formula>"INCONNU"</formula>
    </cfRule>
  </conditionalFormatting>
  <conditionalFormatting sqref="P10">
    <cfRule type="cellIs" dxfId="1" priority="13" operator="equal">
      <formula>"INCONNU"</formula>
    </cfRule>
  </conditionalFormatting>
  <conditionalFormatting sqref="P25:P28">
    <cfRule type="cellIs" dxfId="0" priority="14" operator="equal">
      <formula>"INCONNU"</formula>
    </cfRule>
  </conditionalFormatting>
  <pageMargins left="0.70833333333333304" right="0.70833333333333304" top="0.74791666666666701" bottom="0.7479166666666670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31"/>
  <sheetViews>
    <sheetView zoomScaleNormal="100" workbookViewId="0">
      <selection activeCell="C9" sqref="C9"/>
    </sheetView>
  </sheetViews>
  <sheetFormatPr baseColWidth="10" defaultColWidth="10.33203125" defaultRowHeight="15"/>
  <cols>
    <col min="2" max="2" width="68.6640625" customWidth="1"/>
    <col min="3" max="3" width="24.6640625" customWidth="1"/>
  </cols>
  <sheetData>
    <row r="3" spans="2:8" ht="16">
      <c r="B3" s="122" t="s">
        <v>131</v>
      </c>
      <c r="C3" s="62"/>
      <c r="D3" s="62"/>
      <c r="E3" s="62"/>
      <c r="F3" s="62"/>
      <c r="G3" s="62"/>
      <c r="H3" s="62"/>
    </row>
    <row r="4" spans="2:8">
      <c r="B4" s="62"/>
      <c r="C4" s="62"/>
      <c r="D4" s="62"/>
      <c r="E4" s="62"/>
      <c r="F4" s="62"/>
      <c r="G4" s="62"/>
      <c r="H4" s="62"/>
    </row>
    <row r="5" spans="2:8">
      <c r="B5" s="62"/>
      <c r="C5" s="62"/>
      <c r="D5" s="62"/>
      <c r="E5" s="62"/>
      <c r="F5" s="62"/>
      <c r="G5" s="62"/>
      <c r="H5" s="62"/>
    </row>
    <row r="6" spans="2:8" ht="16">
      <c r="B6" s="123" t="s">
        <v>132</v>
      </c>
      <c r="C6" s="123" t="s">
        <v>133</v>
      </c>
      <c r="F6" s="62"/>
      <c r="G6" s="123" t="s">
        <v>134</v>
      </c>
      <c r="H6" s="123" t="s">
        <v>135</v>
      </c>
    </row>
    <row r="7" spans="2:8">
      <c r="B7" t="s">
        <v>136</v>
      </c>
      <c r="C7">
        <v>1</v>
      </c>
      <c r="D7" t="s">
        <v>137</v>
      </c>
      <c r="E7" t="s">
        <v>138</v>
      </c>
      <c r="F7">
        <v>2</v>
      </c>
      <c r="G7">
        <v>3</v>
      </c>
      <c r="H7">
        <v>30</v>
      </c>
    </row>
    <row r="8" spans="2:8">
      <c r="B8" s="101" t="s">
        <v>139</v>
      </c>
      <c r="C8" s="62"/>
      <c r="D8" s="62"/>
      <c r="E8" s="62"/>
      <c r="F8" s="62"/>
      <c r="G8" s="62"/>
      <c r="H8" s="101">
        <v>21</v>
      </c>
    </row>
    <row r="9" spans="2:8">
      <c r="B9" s="57" t="s">
        <v>27</v>
      </c>
      <c r="C9" s="124" t="s">
        <v>140</v>
      </c>
      <c r="D9" s="124">
        <v>18</v>
      </c>
      <c r="E9" s="124">
        <v>18</v>
      </c>
      <c r="F9" s="58"/>
      <c r="G9" s="58" t="s">
        <v>141</v>
      </c>
      <c r="H9">
        <v>4.5</v>
      </c>
    </row>
    <row r="10" spans="2:8">
      <c r="B10" s="57" t="s">
        <v>33</v>
      </c>
      <c r="C10" s="124" t="s">
        <v>142</v>
      </c>
      <c r="D10" s="124">
        <v>18</v>
      </c>
      <c r="E10" s="124">
        <v>18</v>
      </c>
      <c r="F10" s="58" t="s">
        <v>143</v>
      </c>
      <c r="G10" s="62"/>
      <c r="H10">
        <v>4.5</v>
      </c>
    </row>
    <row r="11" spans="2:8">
      <c r="B11" s="57" t="s">
        <v>37</v>
      </c>
      <c r="C11" s="124" t="s">
        <v>144</v>
      </c>
      <c r="D11" s="124">
        <v>18</v>
      </c>
      <c r="E11" s="124">
        <v>18</v>
      </c>
      <c r="F11" s="62"/>
      <c r="G11" s="62"/>
      <c r="H11">
        <v>3</v>
      </c>
    </row>
    <row r="12" spans="2:8">
      <c r="B12" s="57" t="s">
        <v>41</v>
      </c>
      <c r="C12" s="124" t="s">
        <v>145</v>
      </c>
      <c r="D12" s="124">
        <v>18</v>
      </c>
      <c r="E12" s="124">
        <v>18</v>
      </c>
      <c r="F12" s="62"/>
      <c r="G12" s="62"/>
      <c r="H12">
        <v>3</v>
      </c>
    </row>
    <row r="13" spans="2:8">
      <c r="B13" s="57" t="s">
        <v>44</v>
      </c>
      <c r="C13" s="124" t="s">
        <v>146</v>
      </c>
      <c r="D13" s="124">
        <v>18</v>
      </c>
      <c r="E13" s="124">
        <v>18</v>
      </c>
      <c r="F13" s="62"/>
      <c r="G13" s="62"/>
      <c r="H13">
        <v>3</v>
      </c>
    </row>
    <row r="14" spans="2:8">
      <c r="B14" s="57" t="s">
        <v>147</v>
      </c>
      <c r="C14" s="124" t="s">
        <v>148</v>
      </c>
      <c r="D14" s="124">
        <v>18</v>
      </c>
      <c r="E14" s="124">
        <v>18</v>
      </c>
      <c r="F14" s="62"/>
      <c r="G14" s="62"/>
      <c r="H14">
        <v>3</v>
      </c>
    </row>
    <row r="15" spans="2:8" ht="16">
      <c r="B15" s="101" t="s">
        <v>149</v>
      </c>
      <c r="C15" s="62"/>
      <c r="D15" s="62"/>
      <c r="E15" s="62"/>
      <c r="F15" s="62"/>
      <c r="G15" s="62"/>
      <c r="H15" s="125">
        <v>4.5</v>
      </c>
    </row>
    <row r="16" spans="2:8" ht="16">
      <c r="B16" s="57" t="s">
        <v>150</v>
      </c>
      <c r="C16" s="126" t="s">
        <v>151</v>
      </c>
      <c r="D16" s="124">
        <v>18</v>
      </c>
      <c r="E16" s="124">
        <v>18</v>
      </c>
      <c r="F16" s="16" t="s">
        <v>151</v>
      </c>
      <c r="G16" s="62"/>
      <c r="H16" s="125">
        <v>3</v>
      </c>
    </row>
    <row r="17" spans="2:8" ht="16">
      <c r="B17" t="s">
        <v>58</v>
      </c>
      <c r="C17" s="124" t="s">
        <v>152</v>
      </c>
      <c r="D17" s="124">
        <v>6</v>
      </c>
      <c r="E17" s="124">
        <v>6</v>
      </c>
      <c r="F17" s="62"/>
      <c r="G17" s="62"/>
      <c r="H17" s="125">
        <v>1.5</v>
      </c>
    </row>
    <row r="18" spans="2:8">
      <c r="B18" s="127" t="s">
        <v>153</v>
      </c>
      <c r="C18" s="62"/>
      <c r="D18" s="62"/>
      <c r="E18" s="62"/>
      <c r="F18" s="62"/>
      <c r="G18" s="62"/>
      <c r="H18" s="127">
        <v>3</v>
      </c>
    </row>
    <row r="19" spans="2:8" ht="16">
      <c r="B19" t="s">
        <v>62</v>
      </c>
      <c r="C19" s="124" t="s">
        <v>154</v>
      </c>
      <c r="D19" s="128"/>
      <c r="E19" s="129">
        <v>18</v>
      </c>
      <c r="F19" s="62"/>
      <c r="G19" s="62"/>
      <c r="H19">
        <v>3</v>
      </c>
    </row>
    <row r="20" spans="2:8">
      <c r="B20" s="101" t="s">
        <v>155</v>
      </c>
      <c r="C20" s="58"/>
      <c r="D20" s="62"/>
      <c r="E20" s="62"/>
      <c r="F20" s="62"/>
      <c r="G20" s="62"/>
      <c r="H20" s="101">
        <v>1.5</v>
      </c>
    </row>
    <row r="21" spans="2:8">
      <c r="B21" s="58" t="s">
        <v>156</v>
      </c>
      <c r="C21" s="124" t="s">
        <v>157</v>
      </c>
      <c r="D21" s="128" t="s">
        <v>158</v>
      </c>
      <c r="E21" s="130">
        <v>12</v>
      </c>
      <c r="F21" s="58" t="s">
        <v>158</v>
      </c>
      <c r="G21" s="62"/>
      <c r="H21">
        <v>1.5</v>
      </c>
    </row>
    <row r="22" spans="2:8">
      <c r="B22" s="62"/>
      <c r="C22" s="62"/>
      <c r="D22" s="62"/>
      <c r="E22" s="62"/>
      <c r="F22" s="62"/>
      <c r="G22" s="62"/>
      <c r="H22" s="62"/>
    </row>
    <row r="23" spans="2:8">
      <c r="B23" s="62"/>
      <c r="C23" s="62"/>
      <c r="D23" s="62"/>
      <c r="E23" s="62"/>
      <c r="F23" s="62"/>
      <c r="G23" s="62"/>
      <c r="H23" s="62"/>
    </row>
    <row r="24" spans="2:8" ht="16">
      <c r="B24" s="123" t="s">
        <v>159</v>
      </c>
      <c r="C24" s="62"/>
      <c r="F24" s="123" t="s">
        <v>133</v>
      </c>
      <c r="G24" s="123" t="s">
        <v>134</v>
      </c>
      <c r="H24" s="123" t="s">
        <v>135</v>
      </c>
    </row>
    <row r="25" spans="2:8">
      <c r="B25" t="s">
        <v>136</v>
      </c>
      <c r="C25">
        <v>1</v>
      </c>
      <c r="D25" t="s">
        <v>137</v>
      </c>
      <c r="E25" t="s">
        <v>138</v>
      </c>
      <c r="F25">
        <v>2</v>
      </c>
      <c r="G25">
        <v>3</v>
      </c>
      <c r="H25">
        <v>30</v>
      </c>
    </row>
    <row r="26" spans="2:8">
      <c r="B26" s="101" t="s">
        <v>160</v>
      </c>
      <c r="C26" s="62"/>
      <c r="D26" s="62"/>
      <c r="E26" s="62"/>
      <c r="F26" s="62"/>
      <c r="G26" s="62"/>
      <c r="H26" s="101">
        <v>12</v>
      </c>
    </row>
    <row r="27" spans="2:8">
      <c r="B27" s="57" t="s">
        <v>69</v>
      </c>
      <c r="C27" s="131" t="s">
        <v>161</v>
      </c>
      <c r="D27" s="124">
        <v>18</v>
      </c>
      <c r="E27" s="124">
        <v>18</v>
      </c>
      <c r="F27" t="s">
        <v>144</v>
      </c>
      <c r="G27" s="62"/>
      <c r="H27">
        <v>3</v>
      </c>
    </row>
    <row r="28" spans="2:8">
      <c r="B28" s="57" t="s">
        <v>162</v>
      </c>
      <c r="C28" s="131" t="s">
        <v>163</v>
      </c>
      <c r="D28" s="128"/>
      <c r="E28" s="124">
        <v>48</v>
      </c>
      <c r="F28" t="s">
        <v>141</v>
      </c>
      <c r="G28" t="s">
        <v>140</v>
      </c>
      <c r="H28">
        <v>7.5</v>
      </c>
    </row>
    <row r="29" spans="2:8">
      <c r="B29" s="57" t="s">
        <v>72</v>
      </c>
      <c r="C29" s="131" t="s">
        <v>164</v>
      </c>
      <c r="D29" s="124">
        <v>6</v>
      </c>
      <c r="E29" s="124">
        <v>6</v>
      </c>
      <c r="F29" t="s">
        <v>164</v>
      </c>
      <c r="G29" s="62"/>
      <c r="H29">
        <v>1.5</v>
      </c>
    </row>
    <row r="30" spans="2:8">
      <c r="B30" s="101" t="s">
        <v>165</v>
      </c>
      <c r="C30" s="62"/>
      <c r="D30" s="62"/>
      <c r="E30" s="62"/>
      <c r="F30" s="62"/>
      <c r="G30" s="62"/>
      <c r="H30" s="101">
        <v>18</v>
      </c>
    </row>
    <row r="31" spans="2:8">
      <c r="B31" s="58" t="s">
        <v>75</v>
      </c>
      <c r="C31" s="128" t="s">
        <v>148</v>
      </c>
      <c r="D31" s="128"/>
      <c r="E31" s="130">
        <v>12</v>
      </c>
      <c r="F31" s="62"/>
      <c r="G31" s="62"/>
      <c r="H31">
        <v>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>
      <selection activeCell="B4" sqref="B4"/>
    </sheetView>
  </sheetViews>
  <sheetFormatPr baseColWidth="10" defaultColWidth="10.33203125" defaultRowHeight="15"/>
  <sheetData>
    <row r="1" spans="1:3">
      <c r="A1" t="s">
        <v>166</v>
      </c>
    </row>
    <row r="3" spans="1:3" ht="16">
      <c r="B3" s="132" t="s">
        <v>167</v>
      </c>
      <c r="C3" t="s">
        <v>168</v>
      </c>
    </row>
    <row r="4" spans="1:3" ht="16">
      <c r="B4" s="132" t="s">
        <v>169</v>
      </c>
    </row>
    <row r="5" spans="1:3" ht="16">
      <c r="B5" s="132" t="s">
        <v>170</v>
      </c>
    </row>
    <row r="6" spans="1:3" ht="16">
      <c r="B6" s="132" t="s">
        <v>171</v>
      </c>
    </row>
    <row r="7" spans="1:3" ht="16">
      <c r="B7" s="132" t="s">
        <v>172</v>
      </c>
    </row>
    <row r="8" spans="1:3" ht="16">
      <c r="B8" s="132" t="s">
        <v>173</v>
      </c>
    </row>
    <row r="9" spans="1:3" ht="16">
      <c r="B9" s="132" t="s">
        <v>174</v>
      </c>
    </row>
    <row r="10" spans="1:3" ht="16">
      <c r="B10" s="132" t="s">
        <v>175</v>
      </c>
    </row>
    <row r="11" spans="1:3">
      <c r="B11" s="133">
        <v>46035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LMD5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</dc:creator>
  <dc:description/>
  <cp:lastModifiedBy>sonia.guehis sonia.guehis</cp:lastModifiedBy>
  <cp:revision>1</cp:revision>
  <dcterms:created xsi:type="dcterms:W3CDTF">2013-06-16T07:22:03Z</dcterms:created>
  <dcterms:modified xsi:type="dcterms:W3CDTF">2026-07-09T09:07:01Z</dcterms:modified>
  <dc:language>fr-FR</dc:language>
</cp:coreProperties>
</file>